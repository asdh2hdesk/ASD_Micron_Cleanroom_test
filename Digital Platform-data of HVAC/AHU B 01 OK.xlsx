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280" windowHeight="7695" activeTab="1"/>
  </bookViews>
  <sheets>
    <sheet name="CFM" sheetId="7" r:id="rId1"/>
    <sheet name="PAO " sheetId="8" r:id="rId2"/>
    <sheet name="PC REST" sheetId="10" r:id="rId3"/>
    <sheet name="RC" sheetId="11" r:id="rId4"/>
    <sheet name="Velocity" sheetId="12" r:id="rId5"/>
  </sheets>
  <definedNames>
    <definedName name="_xlnm.Print_Area" localSheetId="0">CFM!$A$1:$M$45</definedName>
    <definedName name="_xlnm.Print_Area" localSheetId="1">'PAO '!$A$1:$K$45</definedName>
    <definedName name="_xlnm.Print_Area" localSheetId="2">'PC REST'!$A$1:$H$50</definedName>
  </definedNames>
  <calcPr calcId="162913"/>
</workbook>
</file>

<file path=xl/calcChain.xml><?xml version="1.0" encoding="utf-8"?>
<calcChain xmlns="http://schemas.openxmlformats.org/spreadsheetml/2006/main">
  <c r="L31" i="12" l="1"/>
  <c r="L29" i="12"/>
  <c r="L27" i="12"/>
  <c r="L25" i="12"/>
  <c r="L23" i="12"/>
  <c r="H29" i="11" l="1"/>
  <c r="H31" i="11" s="1"/>
  <c r="H28" i="8" l="1"/>
  <c r="H26" i="8"/>
  <c r="A26" i="8" l="1"/>
  <c r="H23" i="7"/>
  <c r="B23" i="7"/>
</calcChain>
</file>

<file path=xl/sharedStrings.xml><?xml version="1.0" encoding="utf-8"?>
<sst xmlns="http://schemas.openxmlformats.org/spreadsheetml/2006/main" count="296" uniqueCount="171">
  <si>
    <t>TEST CERTIFICATE</t>
  </si>
  <si>
    <t>:</t>
  </si>
  <si>
    <t>PREMIUM SERUMS AND VACCINES PVT.LTD.</t>
  </si>
  <si>
    <t>S.NO 354-1 ,354-2A/1 AT &amp; POST-NARAYANGAON</t>
  </si>
  <si>
    <t>TAL.JUNNAR. DIST PUNE- 410504</t>
  </si>
  <si>
    <t>TEST CARRIED OUT BY</t>
  </si>
  <si>
    <t>TEST WITNESSED BY</t>
  </si>
  <si>
    <t>AT REST</t>
  </si>
  <si>
    <t>CALIBRATION DATE</t>
  </si>
  <si>
    <t xml:space="preserve">Filter No. </t>
  </si>
  <si>
    <t>For,Micron HVAC Pvt.Ltd.</t>
  </si>
  <si>
    <t>For,Premium Serums and Vaccines Pvt. Ltd.</t>
  </si>
  <si>
    <t>Remarks</t>
  </si>
  <si>
    <t>CALIBRATION DUE DATE</t>
  </si>
  <si>
    <t>AEROSOL PHOTOMETER</t>
  </si>
  <si>
    <t xml:space="preserve">Leakage (%) </t>
  </si>
  <si>
    <t xml:space="preserve">PAO Test Result </t>
  </si>
  <si>
    <t>CLEARS PAO TEST</t>
  </si>
  <si>
    <t xml:space="preserve">CLIENT                                            </t>
  </si>
  <si>
    <t xml:space="preserve">TEST CARRIED OUT BY                   </t>
  </si>
  <si>
    <t xml:space="preserve">TEST WITNESSED BY                     </t>
  </si>
  <si>
    <t xml:space="preserve">TEST                                               </t>
  </si>
  <si>
    <t xml:space="preserve">VALIDATION DATE                          </t>
  </si>
  <si>
    <t xml:space="preserve">TEST TAKEN                                  </t>
  </si>
  <si>
    <t xml:space="preserve">AHU NO                                           </t>
  </si>
  <si>
    <t xml:space="preserve">ROOM NAME &amp; NO.                     </t>
  </si>
  <si>
    <t>AHU B 01</t>
  </si>
  <si>
    <t>INSTRUMENT USED</t>
  </si>
  <si>
    <t>TEST REVIEWED BY</t>
  </si>
  <si>
    <t>Sr. No.</t>
  </si>
  <si>
    <t>Filter Code</t>
  </si>
  <si>
    <t>ACPH</t>
  </si>
  <si>
    <t>For, Micron HVAC Pvt. Ltd.</t>
  </si>
  <si>
    <t xml:space="preserve">Room Name &amp; No. </t>
  </si>
  <si>
    <t>WASHING ROOM (51)</t>
  </si>
  <si>
    <t>Instrument Details</t>
  </si>
  <si>
    <t>Make</t>
  </si>
  <si>
    <t>PMS</t>
  </si>
  <si>
    <t>Flow Rate</t>
  </si>
  <si>
    <t>Model No.</t>
  </si>
  <si>
    <t>Sampling Volume</t>
  </si>
  <si>
    <t>Sampling Time</t>
  </si>
  <si>
    <t>Calibration Date</t>
  </si>
  <si>
    <t>Calibration Due on</t>
  </si>
  <si>
    <t>No.</t>
  </si>
  <si>
    <t>Instrument Used:</t>
  </si>
  <si>
    <t>0.5µ</t>
  </si>
  <si>
    <t>5.0µ</t>
  </si>
  <si>
    <t>Location</t>
  </si>
  <si>
    <t xml:space="preserve">Room Name &amp; No.   </t>
  </si>
  <si>
    <t>CLASS</t>
  </si>
  <si>
    <t>ISO-8</t>
  </si>
  <si>
    <t>L1</t>
  </si>
  <si>
    <t>L2</t>
  </si>
  <si>
    <t>L3</t>
  </si>
  <si>
    <t>L4</t>
  </si>
  <si>
    <t>L5</t>
  </si>
  <si>
    <t>PRODUCTION OFFICE (14)</t>
  </si>
  <si>
    <t>AHU-B01-14-SH-07</t>
  </si>
  <si>
    <t>AHU-B01-14-SH-08</t>
  </si>
  <si>
    <r>
      <t>Room Vol.                (Ft</t>
    </r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)</t>
    </r>
  </si>
  <si>
    <t>PACKING MATERIAL TESTING (45)</t>
  </si>
  <si>
    <t>AHU-B01-45-SH-50</t>
  </si>
  <si>
    <t>AHU-B01-45-SH-51</t>
  </si>
  <si>
    <t>Room Name &amp; No.</t>
  </si>
  <si>
    <t>Actual CFM</t>
  </si>
  <si>
    <t>Total CFM</t>
  </si>
  <si>
    <t>AIR CAPTURE HOOD</t>
  </si>
  <si>
    <t>MODEL NO.: 8380</t>
  </si>
  <si>
    <t>MAKE          : TSI ACCUBALANCE</t>
  </si>
  <si>
    <t>Upstream Conc. 20 To 80 µgm/lit (Before)</t>
  </si>
  <si>
    <t>Upstream Conc. 20 To 80 µgm/lit (After)</t>
  </si>
  <si>
    <t>PASS</t>
  </si>
  <si>
    <t>MODEL NO.     :ATI 2i</t>
  </si>
  <si>
    <r>
      <t>Maximum Permitted number of particles/m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equal to or less than</t>
    </r>
  </si>
  <si>
    <t>Passes Class ISO 8 In At Rest Condition</t>
  </si>
  <si>
    <r>
      <t>No. of Particles in m</t>
    </r>
    <r>
      <rPr>
        <b/>
        <vertAlign val="superscript"/>
        <sz val="10"/>
        <rFont val="Arial"/>
        <family val="2"/>
      </rPr>
      <t>3</t>
    </r>
  </si>
  <si>
    <t>HEPA FILTER  INTEGRITY TEST</t>
  </si>
  <si>
    <t>Mr. SHANKAR PATIL</t>
  </si>
  <si>
    <t>Mr. SHUBHAM BADHE</t>
  </si>
  <si>
    <t>Mr.AMAN PATHAN</t>
  </si>
  <si>
    <t>22/05/2025</t>
  </si>
  <si>
    <t>Lasair_III Particle Counter</t>
  </si>
  <si>
    <t>M. GAUTAM NIKODI</t>
  </si>
  <si>
    <t>Mr.ROSHAN BOLKE</t>
  </si>
  <si>
    <t>Mr.SHUBHAM NIRGUDE</t>
  </si>
  <si>
    <t>SR. NO.       : T83801931003</t>
  </si>
  <si>
    <t>20/07/2023</t>
  </si>
  <si>
    <t>AT REST/IN OPERATION</t>
  </si>
  <si>
    <r>
      <t xml:space="preserve">Upstream Conc. 85% To 115%  </t>
    </r>
    <r>
      <rPr>
        <b/>
        <sz val="9"/>
        <color indexed="8"/>
        <rFont val="Calibri"/>
        <family val="2"/>
        <scheme val="minor"/>
      </rPr>
      <t>(After÷Before×100)</t>
    </r>
  </si>
  <si>
    <t>RECOVERY TEST</t>
  </si>
  <si>
    <t>CLIENT</t>
  </si>
  <si>
    <t>Mr.HARSHVARDHAN PATIL</t>
  </si>
  <si>
    <t>Mr.GAUTAM NAIKODI</t>
  </si>
  <si>
    <t>TEST CARRIED OUT</t>
  </si>
  <si>
    <t>VALIDATION DATE</t>
  </si>
  <si>
    <t>29/10/2025</t>
  </si>
  <si>
    <t>AHU NO.</t>
  </si>
  <si>
    <t>AHU F 12</t>
  </si>
  <si>
    <t>Instrument Used</t>
  </si>
  <si>
    <t>LASAIR_III Particle Counter</t>
  </si>
  <si>
    <t>28.3 LPM</t>
  </si>
  <si>
    <t>310C</t>
  </si>
  <si>
    <t>01 min</t>
  </si>
  <si>
    <t>08/10/2025</t>
  </si>
  <si>
    <t>08/10/2026</t>
  </si>
  <si>
    <t>AHU Condition</t>
  </si>
  <si>
    <t>Time of Reading</t>
  </si>
  <si>
    <r>
      <t>No of Particles in m</t>
    </r>
    <r>
      <rPr>
        <b/>
        <vertAlign val="superscript"/>
        <sz val="10"/>
        <rFont val="Arial"/>
        <family val="2"/>
      </rPr>
      <t>3</t>
    </r>
  </si>
  <si>
    <t>START</t>
  </si>
  <si>
    <t>END</t>
  </si>
  <si>
    <t>0.5µm</t>
  </si>
  <si>
    <t>5.0µm</t>
  </si>
  <si>
    <t>STERIITY ROOM                              (FS 103)</t>
  </si>
  <si>
    <t xml:space="preserve">Initial </t>
  </si>
  <si>
    <t>RECOVERY PERIOD                                                    IS 03 MIN.</t>
  </si>
  <si>
    <t>Generation</t>
  </si>
  <si>
    <t>Recovery Period</t>
  </si>
  <si>
    <t>A] Time at which Specified Class AHU  Condition is ON :</t>
  </si>
  <si>
    <t>B] Time at which Specified Class Condition is Achieved  :</t>
  </si>
  <si>
    <t xml:space="preserve">          Recovery Period = [B-A]   :</t>
  </si>
  <si>
    <r>
      <t>Maximum Permitted number of particles/mt</t>
    </r>
    <r>
      <rPr>
        <vertAlign val="superscript"/>
        <sz val="12"/>
        <rFont val="Arial"/>
        <family val="2"/>
      </rPr>
      <t xml:space="preserve">3 </t>
    </r>
    <r>
      <rPr>
        <sz val="10"/>
        <rFont val="Arial"/>
        <family val="2"/>
      </rPr>
      <t>equal to or less than</t>
    </r>
  </si>
  <si>
    <t>ISO 6</t>
  </si>
  <si>
    <t>TEST CARRIED OUT BY,</t>
  </si>
  <si>
    <t>For Micron HVAC Pvt.Ltd.Pune</t>
  </si>
  <si>
    <r>
      <t>0.0283 m</t>
    </r>
    <r>
      <rPr>
        <vertAlign val="superscript"/>
        <sz val="10"/>
        <color rgb="FFFF0000"/>
        <rFont val="Arial"/>
        <family val="2"/>
      </rPr>
      <t>3</t>
    </r>
    <r>
      <rPr>
        <sz val="10"/>
        <color rgb="FFFF0000"/>
        <rFont val="Arial"/>
        <family val="2"/>
      </rPr>
      <t xml:space="preserve"> /m</t>
    </r>
  </si>
  <si>
    <t xml:space="preserve">Mr.PRASHANT UDGIRE </t>
  </si>
  <si>
    <t>Mr. VIKAS BHOR</t>
  </si>
  <si>
    <t>AREA NAME</t>
  </si>
  <si>
    <t>FFS</t>
  </si>
  <si>
    <t>EQUIPMENT USED</t>
  </si>
  <si>
    <t xml:space="preserve">Digital Vane Probe Anemometer </t>
  </si>
  <si>
    <t>03/10/2025</t>
  </si>
  <si>
    <t>02/10/2026</t>
  </si>
  <si>
    <t>Model No.  : AVM-04</t>
  </si>
  <si>
    <t>Sr.No.           : 230205234</t>
  </si>
  <si>
    <t>Sr. 
No.</t>
  </si>
  <si>
    <t>Equipment Name &amp; ID.</t>
  </si>
  <si>
    <t>Filter No.</t>
  </si>
  <si>
    <t>Laminar Air Flow 
(PSV/FF/PR/LAFU/025)</t>
  </si>
  <si>
    <t>PSV/FF/PR/LAFU/025/F1</t>
  </si>
  <si>
    <t>PSV/FF/PR/LAFU/025/F2</t>
  </si>
  <si>
    <t>PSV/FF/PR/LAFU/025/F3</t>
  </si>
  <si>
    <t>PSV/FF/PR/LAFU/025/F4</t>
  </si>
  <si>
    <t>PSV/FF/PR/LAFU/025/F5</t>
  </si>
  <si>
    <t>Air Velocity Reading m/s / FPM</t>
  </si>
  <si>
    <t xml:space="preserve">Average Air Velocity ( m/s) /FPM </t>
  </si>
  <si>
    <t>CFM MEASUREMENT &amp; ACPH TEST</t>
  </si>
  <si>
    <t xml:space="preserve">ACCEPTANCE CRITERIA : AS PER ISO 14644-3:2019 ( E ) AIR CHANGES SHOULD NOT BE LESS THAN 20 ACPH </t>
  </si>
  <si>
    <t>PRESSURE GAUGE</t>
  </si>
  <si>
    <t>MODEL NO.     :NIL</t>
  </si>
  <si>
    <t>SR / ID NO.      :MHPL/PG/1180</t>
  </si>
  <si>
    <t>SR / ID NO.       :37504</t>
  </si>
  <si>
    <t xml:space="preserve">ACCEPTANCE CRITERIA : AS PER ISO 14644-3:2019 ( E )  LEAKAGE NMT 0.01% </t>
  </si>
  <si>
    <r>
      <rPr>
        <b/>
        <sz val="11"/>
        <color theme="1"/>
        <rFont val="Calibri"/>
        <family val="2"/>
        <scheme val="minor"/>
      </rPr>
      <t>REFERANCE:-AS PER PROTOCOL No.</t>
    </r>
    <r>
      <rPr>
        <b/>
        <sz val="11"/>
        <color rgb="FFFF0000"/>
        <rFont val="Calibri"/>
        <family val="2"/>
        <scheme val="minor"/>
      </rPr>
      <t>PSV/PRO/001</t>
    </r>
  </si>
  <si>
    <r>
      <rPr>
        <b/>
        <sz val="11"/>
        <color theme="1"/>
        <rFont val="Calibri"/>
        <family val="2"/>
        <scheme val="minor"/>
      </rPr>
      <t>REFERANCE:-AS PER PROTOCOL No.:</t>
    </r>
    <r>
      <rPr>
        <b/>
        <sz val="11"/>
        <color rgb="FFFF0000"/>
        <rFont val="Calibri"/>
        <family val="2"/>
        <scheme val="minor"/>
      </rPr>
      <t xml:space="preserve"> PSV/PRO/001</t>
    </r>
  </si>
  <si>
    <t>100 LPM OR 28.3 LPM</t>
  </si>
  <si>
    <t>LasairIII_5100 OR LasairIII_310C</t>
  </si>
  <si>
    <r>
      <t>0.1000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/min OR 0.0283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/min</t>
    </r>
  </si>
  <si>
    <t>1 Min UP TO 30 Min</t>
  </si>
  <si>
    <r>
      <t>Refrance:-AS PER PROTOCOL No.</t>
    </r>
    <r>
      <rPr>
        <b/>
        <sz val="10"/>
        <color rgb="FFFF0000"/>
        <rFont val="Arial"/>
        <family val="2"/>
      </rPr>
      <t>PSV/PRO/001</t>
    </r>
  </si>
  <si>
    <r>
      <rPr>
        <b/>
        <sz val="10"/>
        <color theme="1"/>
        <rFont val="Arial"/>
        <family val="2"/>
      </rPr>
      <t>ACCEPTANCE CRITERIA AS PER</t>
    </r>
    <r>
      <rPr>
        <b/>
        <sz val="10"/>
        <color rgb="FFFF0000"/>
        <rFont val="Arial"/>
        <family val="2"/>
      </rPr>
      <t xml:space="preserve"> ISO-14644-2:2015 (E ) or  EU GMP</t>
    </r>
  </si>
  <si>
    <r>
      <t>REFERANCE:-AS PER PROTOCOL No.</t>
    </r>
    <r>
      <rPr>
        <b/>
        <sz val="10"/>
        <color rgb="FFFF0000"/>
        <rFont val="Arial"/>
        <family val="2"/>
      </rPr>
      <t>PSV/PRO/001</t>
    </r>
  </si>
  <si>
    <t>HH:MM:SS</t>
  </si>
  <si>
    <t>H:MM:SS</t>
  </si>
  <si>
    <t>ACCEPTANCE CRITERIA:- NMT 15 Min AS PER ISPE &amp; ISO-14644-3:2019 (E)</t>
  </si>
  <si>
    <t>NON-VIABLE PARTICLE COUNT TEST</t>
  </si>
  <si>
    <t>AIR VELOCITY TEST</t>
  </si>
  <si>
    <r>
      <t xml:space="preserve">ACCEPTANCE CRITERIA : </t>
    </r>
    <r>
      <rPr>
        <b/>
        <sz val="11"/>
        <color rgb="FFFF0000"/>
        <rFont val="Calibri"/>
        <family val="2"/>
        <scheme val="minor"/>
      </rPr>
      <t>0.45 m/s ± 20 %</t>
    </r>
    <r>
      <rPr>
        <b/>
        <sz val="11"/>
        <color theme="1"/>
        <rFont val="Calibri"/>
        <family val="2"/>
        <scheme val="minor"/>
      </rPr>
      <t xml:space="preserve">  AS PER PROTOCOL No.</t>
    </r>
    <r>
      <rPr>
        <b/>
        <sz val="11"/>
        <color rgb="FFFF0000"/>
        <rFont val="Calibri"/>
        <family val="2"/>
        <scheme val="minor"/>
      </rPr>
      <t>PSV/PRO/001</t>
    </r>
  </si>
  <si>
    <t>ACCEPTANCE CRITERIA : 0.45 m/s ± 20 % AS PER EU GMP OR ISPE</t>
  </si>
  <si>
    <t xml:space="preserve">Upstream Conc.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</si>
</sst>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yy"/>
    <numFmt numFmtId="165" formatCode="0.000%"/>
    <numFmt numFmtId="166" formatCode="0;[Red]0"/>
    <numFmt numFmtId="167" formatCode="dd\/mm\/yyyy"/>
    <numFmt numFmtId="169" formatCode="h:mm:ss;@"/>
  </numFmts>
  <fonts count="2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b/>
      <u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vertAlign val="superscript"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name val="Arial"/>
      <family val="2"/>
    </font>
    <font>
      <b/>
      <u/>
      <sz val="12"/>
      <name val="Arial"/>
      <family val="2"/>
    </font>
    <font>
      <vertAlign val="superscript"/>
      <sz val="12"/>
      <name val="Arial"/>
      <family val="2"/>
    </font>
    <font>
      <b/>
      <sz val="9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/>
    <xf numFmtId="0" fontId="2" fillId="0" borderId="9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4" xfId="0" applyFont="1" applyBorder="1"/>
    <xf numFmtId="0" fontId="1" fillId="0" borderId="0" xfId="0" applyFont="1"/>
    <xf numFmtId="0" fontId="2" fillId="0" borderId="8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15" fontId="3" fillId="3" borderId="14" xfId="0" applyNumberFormat="1" applyFont="1" applyFill="1" applyBorder="1" applyAlignment="1">
      <alignment vertical="center" wrapText="1"/>
    </xf>
    <xf numFmtId="164" fontId="3" fillId="0" borderId="10" xfId="0" applyNumberFormat="1" applyFont="1" applyBorder="1"/>
    <xf numFmtId="0" fontId="0" fillId="0" borderId="12" xfId="0" applyBorder="1"/>
    <xf numFmtId="164" fontId="3" fillId="0" borderId="0" xfId="0" applyNumberFormat="1" applyFont="1"/>
    <xf numFmtId="2" fontId="1" fillId="0" borderId="4" xfId="0" applyNumberFormat="1" applyFont="1" applyBorder="1"/>
    <xf numFmtId="2" fontId="1" fillId="0" borderId="0" xfId="0" applyNumberFormat="1" applyFont="1"/>
    <xf numFmtId="2" fontId="1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 wrapText="1"/>
    </xf>
    <xf numFmtId="2" fontId="2" fillId="0" borderId="4" xfId="0" applyNumberFormat="1" applyFont="1" applyBorder="1" applyAlignment="1">
      <alignment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15" fontId="1" fillId="5" borderId="6" xfId="0" applyNumberFormat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0" borderId="0" xfId="0" applyFont="1" applyAlignment="1">
      <alignment horizontal="center"/>
    </xf>
    <xf numFmtId="0" fontId="10" fillId="0" borderId="0" xfId="0" applyFont="1"/>
    <xf numFmtId="0" fontId="10" fillId="0" borderId="5" xfId="0" applyFont="1" applyBorder="1"/>
    <xf numFmtId="0" fontId="10" fillId="2" borderId="0" xfId="0" applyFont="1" applyFill="1" applyAlignment="1">
      <alignment horizontal="left"/>
    </xf>
    <xf numFmtId="15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0" fontId="10" fillId="0" borderId="7" xfId="0" applyFont="1" applyBorder="1"/>
    <xf numFmtId="0" fontId="10" fillId="0" borderId="8" xfId="0" applyFont="1" applyBorder="1"/>
    <xf numFmtId="0" fontId="10" fillId="0" borderId="4" xfId="0" applyFont="1" applyBorder="1"/>
    <xf numFmtId="0" fontId="10" fillId="0" borderId="11" xfId="0" applyFont="1" applyBorder="1"/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1" fontId="9" fillId="0" borderId="8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9" fillId="0" borderId="7" xfId="0" applyFont="1" applyBorder="1"/>
    <xf numFmtId="0" fontId="9" fillId="0" borderId="8" xfId="0" applyFont="1" applyBorder="1"/>
    <xf numFmtId="0" fontId="10" fillId="0" borderId="9" xfId="0" applyFont="1" applyBorder="1"/>
    <xf numFmtId="0" fontId="9" fillId="0" borderId="4" xfId="0" applyFont="1" applyBorder="1"/>
    <xf numFmtId="0" fontId="9" fillId="0" borderId="0" xfId="0" applyFont="1"/>
    <xf numFmtId="0" fontId="12" fillId="0" borderId="4" xfId="0" applyFont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Border="1"/>
    <xf numFmtId="0" fontId="9" fillId="0" borderId="0" xfId="0" applyFont="1" applyBorder="1"/>
    <xf numFmtId="0" fontId="12" fillId="0" borderId="0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9" fillId="0" borderId="0" xfId="0" applyFont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11" xfId="0" applyFont="1" applyBorder="1"/>
    <xf numFmtId="0" fontId="14" fillId="0" borderId="10" xfId="0" applyFont="1" applyBorder="1"/>
    <xf numFmtId="0" fontId="14" fillId="0" borderId="4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3" fillId="0" borderId="0" xfId="0" applyFont="1"/>
    <xf numFmtId="0" fontId="16" fillId="0" borderId="0" xfId="0" applyFont="1" applyAlignment="1">
      <alignment vertical="center"/>
    </xf>
    <xf numFmtId="15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5" fontId="13" fillId="3" borderId="15" xfId="0" applyNumberFormat="1" applyFont="1" applyFill="1" applyBorder="1" applyAlignment="1">
      <alignment vertical="center" wrapText="1"/>
    </xf>
    <xf numFmtId="0" fontId="15" fillId="0" borderId="0" xfId="0" applyFont="1" applyBorder="1"/>
    <xf numFmtId="0" fontId="14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23" fillId="0" borderId="0" xfId="0" applyFont="1" applyBorder="1" applyAlignment="1">
      <alignment horizontal="center" wrapText="1"/>
    </xf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Fill="1"/>
    <xf numFmtId="0" fontId="2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13" fillId="2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169" fontId="2" fillId="0" borderId="0" xfId="0" quotePrefix="1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69" fontId="1" fillId="0" borderId="0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quotePrefix="1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5" fillId="0" borderId="0" xfId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2" fillId="0" borderId="11" xfId="0" applyNumberFormat="1" applyFont="1" applyFill="1" applyBorder="1" applyAlignment="1">
      <alignment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6" xfId="0" quotePrefix="1" applyNumberFormat="1" applyFont="1" applyFill="1" applyBorder="1" applyAlignment="1">
      <alignment horizontal="center" vertical="center"/>
    </xf>
    <xf numFmtId="169" fontId="13" fillId="0" borderId="6" xfId="0" quotePrefix="1" applyNumberFormat="1" applyFont="1" applyFill="1" applyBorder="1" applyAlignment="1">
      <alignment horizontal="center" vertical="center"/>
    </xf>
    <xf numFmtId="169" fontId="18" fillId="0" borderId="0" xfId="0" applyNumberFormat="1" applyFont="1" applyFill="1" applyBorder="1" applyAlignment="1">
      <alignment horizontal="right" vertical="center"/>
    </xf>
    <xf numFmtId="169" fontId="18" fillId="0" borderId="0" xfId="0" applyNumberFormat="1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49" fontId="13" fillId="0" borderId="10" xfId="0" applyNumberFormat="1" applyFont="1" applyFill="1" applyBorder="1" applyAlignment="1">
      <alignment vertical="center"/>
    </xf>
    <xf numFmtId="0" fontId="13" fillId="0" borderId="0" xfId="0" applyFont="1" applyBorder="1"/>
    <xf numFmtId="0" fontId="0" fillId="0" borderId="0" xfId="0" applyFont="1"/>
    <xf numFmtId="0" fontId="10" fillId="2" borderId="0" xfId="0" applyFont="1" applyFill="1" applyBorder="1" applyAlignment="1">
      <alignment horizontal="left"/>
    </xf>
    <xf numFmtId="0" fontId="0" fillId="3" borderId="0" xfId="0" applyFont="1" applyFill="1"/>
    <xf numFmtId="49" fontId="10" fillId="3" borderId="0" xfId="0" applyNumberFormat="1" applyFont="1" applyFill="1" applyAlignment="1">
      <alignment horizontal="left" vertical="center"/>
    </xf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0" borderId="4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12" fillId="0" borderId="10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14" fillId="3" borderId="0" xfId="0" applyFont="1" applyFill="1"/>
    <xf numFmtId="49" fontId="14" fillId="3" borderId="0" xfId="0" applyNumberFormat="1" applyFont="1" applyFill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2" fontId="14" fillId="0" borderId="9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2" fontId="14" fillId="0" borderId="10" xfId="0" applyNumberFormat="1" applyFont="1" applyBorder="1" applyAlignment="1">
      <alignment horizontal="center" vertical="center" wrapText="1"/>
    </xf>
    <xf numFmtId="2" fontId="14" fillId="0" borderId="12" xfId="0" applyNumberFormat="1" applyFont="1" applyBorder="1" applyAlignment="1">
      <alignment horizontal="center" vertical="center" wrapText="1"/>
    </xf>
    <xf numFmtId="2" fontId="15" fillId="0" borderId="14" xfId="0" applyNumberFormat="1" applyFont="1" applyBorder="1" applyAlignment="1">
      <alignment horizontal="center" vertical="center" wrapText="1"/>
    </xf>
    <xf numFmtId="2" fontId="15" fillId="0" borderId="15" xfId="0" applyNumberFormat="1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1" fontId="14" fillId="3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167" fontId="14" fillId="0" borderId="6" xfId="0" applyNumberFormat="1" applyFont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1" fontId="14" fillId="3" borderId="14" xfId="0" applyNumberFormat="1" applyFont="1" applyFill="1" applyBorder="1" applyAlignment="1">
      <alignment horizontal="center" vertical="center"/>
    </xf>
    <xf numFmtId="1" fontId="14" fillId="3" borderId="13" xfId="0" applyNumberFormat="1" applyFont="1" applyFill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4" fillId="3" borderId="1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horizontal="center" vertical="center"/>
    </xf>
    <xf numFmtId="0" fontId="18" fillId="4" borderId="1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49" fontId="13" fillId="0" borderId="10" xfId="0" applyNumberFormat="1" applyFont="1" applyBorder="1" applyAlignment="1">
      <alignment horizontal="left"/>
    </xf>
    <xf numFmtId="49" fontId="14" fillId="0" borderId="11" xfId="0" applyNumberFormat="1" applyFont="1" applyBorder="1" applyAlignment="1">
      <alignment horizontal="left"/>
    </xf>
    <xf numFmtId="49" fontId="14" fillId="0" borderId="12" xfId="0" applyNumberFormat="1" applyFont="1" applyBorder="1" applyAlignment="1">
      <alignment horizontal="left"/>
    </xf>
    <xf numFmtId="0" fontId="1" fillId="0" borderId="0" xfId="0" applyFont="1" applyAlignment="1">
      <alignment vertical="center" wrapText="1"/>
    </xf>
    <xf numFmtId="167" fontId="13" fillId="0" borderId="0" xfId="0" applyNumberFormat="1" applyFont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3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2" fontId="1" fillId="6" borderId="1" xfId="0" applyNumberFormat="1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15" fontId="1" fillId="5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5" fontId="1" fillId="5" borderId="6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3" fillId="0" borderId="7" xfId="0" quotePrefix="1" applyFont="1" applyBorder="1" applyAlignment="1">
      <alignment horizontal="center" vertical="center"/>
    </xf>
    <xf numFmtId="0" fontId="13" fillId="0" borderId="9" xfId="0" quotePrefix="1" applyFont="1" applyBorder="1" applyAlignment="1">
      <alignment horizontal="center" vertical="center"/>
    </xf>
    <xf numFmtId="0" fontId="13" fillId="0" borderId="10" xfId="0" quotePrefix="1" applyFont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6" fontId="13" fillId="0" borderId="8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166" fontId="13" fillId="0" borderId="11" xfId="0" applyNumberFormat="1" applyFont="1" applyBorder="1" applyAlignment="1">
      <alignment horizontal="center" vertical="center"/>
    </xf>
    <xf numFmtId="166" fontId="13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3" fillId="0" borderId="11" xfId="0" applyNumberFormat="1" applyFont="1" applyFill="1" applyBorder="1" applyAlignment="1">
      <alignment horizontal="left" vertical="center"/>
    </xf>
    <xf numFmtId="49" fontId="13" fillId="0" borderId="12" xfId="0" applyNumberFormat="1" applyFont="1" applyFill="1" applyBorder="1" applyAlignment="1">
      <alignment horizontal="left" vertical="center"/>
    </xf>
    <xf numFmtId="0" fontId="22" fillId="0" borderId="0" xfId="0" applyFont="1" applyBorder="1" applyAlignment="1">
      <alignment horizontal="center" wrapText="1"/>
    </xf>
    <xf numFmtId="49" fontId="13" fillId="0" borderId="0" xfId="0" applyNumberFormat="1" applyFont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5" fillId="4" borderId="6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3" borderId="0" xfId="0" applyNumberFormat="1" applyFont="1" applyFill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167" fontId="14" fillId="0" borderId="7" xfId="0" applyNumberFormat="1" applyFont="1" applyBorder="1" applyAlignment="1">
      <alignment horizontal="center" vertical="center" wrapText="1"/>
    </xf>
    <xf numFmtId="167" fontId="14" fillId="0" borderId="8" xfId="0" applyNumberFormat="1" applyFont="1" applyBorder="1" applyAlignment="1">
      <alignment horizontal="center" vertical="center" wrapText="1"/>
    </xf>
    <xf numFmtId="167" fontId="14" fillId="0" borderId="9" xfId="0" applyNumberFormat="1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167" fontId="14" fillId="0" borderId="5" xfId="0" applyNumberFormat="1" applyFont="1" applyBorder="1" applyAlignment="1">
      <alignment horizontal="center" vertical="center" wrapText="1"/>
    </xf>
    <xf numFmtId="167" fontId="14" fillId="0" borderId="10" xfId="0" applyNumberFormat="1" applyFont="1" applyBorder="1" applyAlignment="1">
      <alignment horizontal="center" vertical="center" wrapText="1"/>
    </xf>
    <xf numFmtId="167" fontId="14" fillId="0" borderId="11" xfId="0" applyNumberFormat="1" applyFont="1" applyBorder="1" applyAlignment="1">
      <alignment horizontal="center" vertical="center" wrapText="1"/>
    </xf>
    <xf numFmtId="167" fontId="14" fillId="0" borderId="12" xfId="0" applyNumberFormat="1" applyFont="1" applyBorder="1" applyAlignment="1">
      <alignment horizontal="center" vertical="center" wrapText="1"/>
    </xf>
    <xf numFmtId="167" fontId="14" fillId="3" borderId="7" xfId="0" applyNumberFormat="1" applyFont="1" applyFill="1" applyBorder="1" applyAlignment="1">
      <alignment horizontal="center" vertical="center" wrapText="1"/>
    </xf>
    <xf numFmtId="167" fontId="14" fillId="3" borderId="8" xfId="0" applyNumberFormat="1" applyFont="1" applyFill="1" applyBorder="1" applyAlignment="1">
      <alignment horizontal="center" vertical="center" wrapText="1"/>
    </xf>
    <xf numFmtId="167" fontId="14" fillId="3" borderId="9" xfId="0" applyNumberFormat="1" applyFont="1" applyFill="1" applyBorder="1" applyAlignment="1">
      <alignment horizontal="center" vertical="center" wrapText="1"/>
    </xf>
    <xf numFmtId="167" fontId="14" fillId="3" borderId="4" xfId="0" applyNumberFormat="1" applyFont="1" applyFill="1" applyBorder="1" applyAlignment="1">
      <alignment horizontal="center" vertical="center" wrapText="1"/>
    </xf>
    <xf numFmtId="167" fontId="14" fillId="3" borderId="0" xfId="0" applyNumberFormat="1" applyFont="1" applyFill="1" applyAlignment="1">
      <alignment horizontal="center" vertical="center" wrapText="1"/>
    </xf>
    <xf numFmtId="167" fontId="14" fillId="3" borderId="5" xfId="0" applyNumberFormat="1" applyFont="1" applyFill="1" applyBorder="1" applyAlignment="1">
      <alignment horizontal="center" vertical="center" wrapText="1"/>
    </xf>
    <xf numFmtId="167" fontId="14" fillId="3" borderId="10" xfId="0" applyNumberFormat="1" applyFont="1" applyFill="1" applyBorder="1" applyAlignment="1">
      <alignment horizontal="center" vertical="center" wrapText="1"/>
    </xf>
    <xf numFmtId="167" fontId="14" fillId="3" borderId="11" xfId="0" applyNumberFormat="1" applyFont="1" applyFill="1" applyBorder="1" applyAlignment="1">
      <alignment horizontal="center" vertical="center" wrapText="1"/>
    </xf>
    <xf numFmtId="167" fontId="14" fillId="3" borderId="12" xfId="0" applyNumberFormat="1" applyFont="1" applyFill="1" applyBorder="1" applyAlignment="1">
      <alignment horizontal="center" vertical="center" wrapText="1"/>
    </xf>
    <xf numFmtId="167" fontId="14" fillId="0" borderId="0" xfId="0" applyNumberFormat="1" applyFont="1" applyBorder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/>
    </xf>
    <xf numFmtId="167" fontId="14" fillId="0" borderId="11" xfId="0" applyNumberFormat="1" applyFont="1" applyBorder="1" applyAlignment="1">
      <alignment horizontal="center" vertical="center"/>
    </xf>
    <xf numFmtId="167" fontId="14" fillId="0" borderId="9" xfId="0" applyNumberFormat="1" applyFont="1" applyBorder="1" applyAlignment="1">
      <alignment horizontal="center" vertical="center"/>
    </xf>
    <xf numFmtId="167" fontId="14" fillId="0" borderId="5" xfId="0" applyNumberFormat="1" applyFont="1" applyBorder="1" applyAlignment="1">
      <alignment horizontal="center" vertical="center"/>
    </xf>
    <xf numFmtId="167" fontId="14" fillId="0" borderId="1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4" fillId="0" borderId="0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67" fontId="14" fillId="0" borderId="7" xfId="0" applyNumberFormat="1" applyFont="1" applyBorder="1" applyAlignment="1">
      <alignment horizontal="center" vertical="center"/>
    </xf>
    <xf numFmtId="167" fontId="14" fillId="0" borderId="4" xfId="0" applyNumberFormat="1" applyFont="1" applyBorder="1" applyAlignment="1">
      <alignment horizontal="center" vertical="center"/>
    </xf>
    <xf numFmtId="167" fontId="14" fillId="0" borderId="10" xfId="0" applyNumberFormat="1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49" fontId="13" fillId="3" borderId="15" xfId="0" applyNumberFormat="1" applyFont="1" applyFill="1" applyBorder="1" applyAlignment="1">
      <alignment vertical="center"/>
    </xf>
    <xf numFmtId="0" fontId="0" fillId="0" borderId="0" xfId="0" applyFont="1" applyAlignment="1">
      <alignment horizontal="left"/>
    </xf>
    <xf numFmtId="0" fontId="0" fillId="0" borderId="5" xfId="0" applyFont="1" applyBorder="1" applyAlignment="1">
      <alignment horizontal="left"/>
    </xf>
    <xf numFmtId="167" fontId="13" fillId="0" borderId="13" xfId="0" applyNumberFormat="1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14" fillId="0" borderId="7" xfId="0" applyFont="1" applyBorder="1" applyAlignment="1"/>
    <xf numFmtId="0" fontId="14" fillId="0" borderId="8" xfId="0" applyFont="1" applyBorder="1" applyAlignment="1"/>
    <xf numFmtId="49" fontId="14" fillId="0" borderId="6" xfId="0" applyNumberFormat="1" applyFont="1" applyBorder="1" applyAlignment="1">
      <alignment horizontal="center" vertical="center" wrapText="1"/>
    </xf>
    <xf numFmtId="49" fontId="14" fillId="3" borderId="6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/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2" fontId="14" fillId="0" borderId="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9" fillId="4" borderId="15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9" fontId="14" fillId="3" borderId="14" xfId="0" applyNumberFormat="1" applyFont="1" applyFill="1" applyBorder="1" applyAlignment="1">
      <alignment horizontal="center" vertical="center"/>
    </xf>
    <xf numFmtId="9" fontId="14" fillId="3" borderId="1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view="pageLayout" topLeftCell="A31" zoomScale="90" zoomScaleNormal="100" zoomScaleSheetLayoutView="100" zoomScalePageLayoutView="90" workbookViewId="0">
      <selection activeCell="E38" sqref="E38"/>
    </sheetView>
  </sheetViews>
  <sheetFormatPr defaultRowHeight="16.5" customHeight="1" x14ac:dyDescent="0.25"/>
  <cols>
    <col min="1" max="1" width="4.42578125" customWidth="1"/>
    <col min="2" max="2" width="15.7109375" customWidth="1"/>
    <col min="3" max="3" width="17.28515625" customWidth="1"/>
    <col min="4" max="4" width="8.5703125" customWidth="1"/>
    <col min="5" max="9" width="6" customWidth="1"/>
    <col min="10" max="10" width="7.5703125" customWidth="1"/>
    <col min="11" max="11" width="8.42578125" customWidth="1"/>
    <col min="13" max="13" width="8.85546875" customWidth="1"/>
  </cols>
  <sheetData>
    <row r="1" spans="1:13" ht="18.95" customHeight="1" x14ac:dyDescent="0.25"/>
    <row r="2" spans="1:13" ht="18.95" customHeight="1" x14ac:dyDescent="0.25">
      <c r="A2" s="235" t="s">
        <v>0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</row>
    <row r="3" spans="1:13" ht="18.95" customHeight="1" x14ac:dyDescent="0.25">
      <c r="A3" s="236" t="s">
        <v>18</v>
      </c>
      <c r="B3" s="236"/>
      <c r="C3" s="69" t="s">
        <v>1</v>
      </c>
      <c r="D3" s="45" t="s">
        <v>2</v>
      </c>
      <c r="E3" s="45"/>
      <c r="F3" s="45"/>
      <c r="G3" s="45"/>
      <c r="H3" s="46"/>
    </row>
    <row r="4" spans="1:13" ht="18.95" customHeight="1" x14ac:dyDescent="0.25">
      <c r="A4" s="237"/>
      <c r="B4" s="237"/>
      <c r="C4" s="237"/>
      <c r="D4" s="47" t="s">
        <v>3</v>
      </c>
      <c r="E4" s="45"/>
      <c r="F4" s="45"/>
      <c r="G4" s="45"/>
      <c r="H4" s="46"/>
    </row>
    <row r="5" spans="1:13" ht="18.95" customHeight="1" x14ac:dyDescent="0.25">
      <c r="A5" s="237"/>
      <c r="B5" s="237"/>
      <c r="C5" s="237"/>
      <c r="D5" s="45" t="s">
        <v>4</v>
      </c>
      <c r="E5" s="45"/>
      <c r="F5" s="45"/>
      <c r="G5" s="45"/>
      <c r="H5" s="45"/>
    </row>
    <row r="6" spans="1:13" ht="18.95" customHeight="1" x14ac:dyDescent="0.25">
      <c r="A6" s="238" t="s">
        <v>19</v>
      </c>
      <c r="B6" s="238"/>
      <c r="C6" s="68" t="s">
        <v>1</v>
      </c>
      <c r="D6" s="90" t="s">
        <v>85</v>
      </c>
      <c r="E6" s="45"/>
      <c r="F6" s="45"/>
      <c r="G6" s="45"/>
      <c r="H6" s="45"/>
    </row>
    <row r="7" spans="1:13" ht="18.95" customHeight="1" x14ac:dyDescent="0.25">
      <c r="A7" s="238" t="s">
        <v>20</v>
      </c>
      <c r="B7" s="238"/>
      <c r="C7" s="68" t="s">
        <v>1</v>
      </c>
      <c r="D7" s="90" t="s">
        <v>80</v>
      </c>
      <c r="E7" s="45"/>
      <c r="F7" s="45"/>
      <c r="G7" s="45"/>
      <c r="H7" s="45"/>
    </row>
    <row r="8" spans="1:13" ht="18.95" customHeight="1" x14ac:dyDescent="0.25">
      <c r="A8" s="239" t="s">
        <v>21</v>
      </c>
      <c r="B8" s="239"/>
      <c r="C8" s="69" t="s">
        <v>1</v>
      </c>
      <c r="D8" s="45" t="s">
        <v>147</v>
      </c>
      <c r="E8" s="45"/>
      <c r="F8" s="45"/>
      <c r="G8" s="45"/>
      <c r="H8" s="45"/>
    </row>
    <row r="9" spans="1:13" ht="18.95" customHeight="1" x14ac:dyDescent="0.25">
      <c r="A9" s="239" t="s">
        <v>22</v>
      </c>
      <c r="B9" s="239"/>
      <c r="C9" s="69" t="s">
        <v>1</v>
      </c>
      <c r="D9" s="240" t="s">
        <v>87</v>
      </c>
      <c r="E9" s="240"/>
      <c r="F9" s="45"/>
      <c r="G9" s="45"/>
      <c r="H9" s="45"/>
    </row>
    <row r="10" spans="1:13" ht="18.95" customHeight="1" x14ac:dyDescent="0.25">
      <c r="A10" s="239" t="s">
        <v>23</v>
      </c>
      <c r="B10" s="239"/>
      <c r="C10" s="69" t="s">
        <v>1</v>
      </c>
      <c r="D10" s="48" t="s">
        <v>7</v>
      </c>
      <c r="E10" s="45"/>
      <c r="F10" s="45"/>
      <c r="G10" s="45"/>
      <c r="H10" s="45"/>
    </row>
    <row r="11" spans="1:13" ht="18.95" customHeight="1" x14ac:dyDescent="0.25">
      <c r="A11" s="239" t="s">
        <v>24</v>
      </c>
      <c r="B11" s="239"/>
      <c r="C11" s="69" t="s">
        <v>1</v>
      </c>
      <c r="D11" s="241" t="s">
        <v>26</v>
      </c>
      <c r="E11" s="241"/>
      <c r="F11" s="45"/>
      <c r="G11" s="45"/>
      <c r="H11" s="45"/>
    </row>
    <row r="12" spans="1:13" ht="18.95" customHeight="1" x14ac:dyDescent="0.25">
      <c r="A12" s="239" t="s">
        <v>25</v>
      </c>
      <c r="B12" s="239"/>
      <c r="C12" s="69" t="s">
        <v>1</v>
      </c>
      <c r="D12" s="91" t="s">
        <v>57</v>
      </c>
      <c r="E12" s="91"/>
      <c r="F12" s="45"/>
      <c r="G12" s="45"/>
      <c r="H12" s="45"/>
    </row>
    <row r="13" spans="1:13" ht="18.95" customHeight="1" x14ac:dyDescent="0.25">
      <c r="A13" s="19"/>
      <c r="B13" s="19"/>
      <c r="C13" s="50"/>
      <c r="E13" s="49"/>
      <c r="F13" s="45"/>
      <c r="G13" s="45"/>
      <c r="H13" s="45"/>
    </row>
    <row r="14" spans="1:13" ht="18.95" customHeight="1" x14ac:dyDescent="0.25">
      <c r="A14" s="86" t="s">
        <v>27</v>
      </c>
      <c r="B14" s="87"/>
      <c r="C14" s="87"/>
      <c r="D14" s="242" t="s">
        <v>8</v>
      </c>
      <c r="E14" s="243"/>
      <c r="F14" s="243"/>
      <c r="G14" s="243"/>
      <c r="H14" s="243"/>
      <c r="I14" s="244"/>
      <c r="J14" s="242" t="s">
        <v>13</v>
      </c>
      <c r="K14" s="243"/>
      <c r="L14" s="243"/>
      <c r="M14" s="244"/>
    </row>
    <row r="15" spans="1:13" ht="18.95" customHeight="1" x14ac:dyDescent="0.25">
      <c r="A15" s="51" t="s">
        <v>67</v>
      </c>
      <c r="B15" s="52"/>
      <c r="C15" s="52"/>
      <c r="D15" s="446">
        <v>44976</v>
      </c>
      <c r="E15" s="447"/>
      <c r="F15" s="447"/>
      <c r="G15" s="447"/>
      <c r="H15" s="447"/>
      <c r="I15" s="448"/>
      <c r="J15" s="455">
        <v>45340</v>
      </c>
      <c r="K15" s="456"/>
      <c r="L15" s="456"/>
      <c r="M15" s="457"/>
    </row>
    <row r="16" spans="1:13" ht="18.95" customHeight="1" x14ac:dyDescent="0.25">
      <c r="A16" s="94" t="s">
        <v>68</v>
      </c>
      <c r="B16" s="45"/>
      <c r="C16" s="45"/>
      <c r="D16" s="449"/>
      <c r="E16" s="450"/>
      <c r="F16" s="450"/>
      <c r="G16" s="450"/>
      <c r="H16" s="450"/>
      <c r="I16" s="451"/>
      <c r="J16" s="458"/>
      <c r="K16" s="459"/>
      <c r="L16" s="459"/>
      <c r="M16" s="460"/>
    </row>
    <row r="17" spans="1:13" ht="18.95" customHeight="1" x14ac:dyDescent="0.25">
      <c r="A17" s="94" t="s">
        <v>69</v>
      </c>
      <c r="B17" s="90"/>
      <c r="C17" s="90"/>
      <c r="D17" s="449"/>
      <c r="E17" s="450"/>
      <c r="F17" s="450"/>
      <c r="G17" s="450"/>
      <c r="H17" s="450"/>
      <c r="I17" s="451"/>
      <c r="J17" s="458"/>
      <c r="K17" s="459"/>
      <c r="L17" s="459"/>
      <c r="M17" s="460"/>
    </row>
    <row r="18" spans="1:13" ht="18.95" customHeight="1" x14ac:dyDescent="0.25">
      <c r="A18" s="93" t="s">
        <v>86</v>
      </c>
      <c r="B18" s="92"/>
      <c r="C18" s="54"/>
      <c r="D18" s="452"/>
      <c r="E18" s="453"/>
      <c r="F18" s="453"/>
      <c r="G18" s="453"/>
      <c r="H18" s="453"/>
      <c r="I18" s="454"/>
      <c r="J18" s="461"/>
      <c r="K18" s="462"/>
      <c r="L18" s="462"/>
      <c r="M18" s="463"/>
    </row>
    <row r="19" spans="1:13" ht="18.95" customHeight="1" x14ac:dyDescent="0.25">
      <c r="A19" s="38"/>
      <c r="M19" s="18"/>
    </row>
    <row r="20" spans="1:13" ht="18.95" customHeight="1" x14ac:dyDescent="0.25">
      <c r="A20" s="225" t="s">
        <v>29</v>
      </c>
      <c r="B20" s="225" t="s">
        <v>33</v>
      </c>
      <c r="C20" s="226" t="s">
        <v>30</v>
      </c>
      <c r="D20" s="227"/>
      <c r="E20" s="225" t="s">
        <v>65</v>
      </c>
      <c r="F20" s="225"/>
      <c r="G20" s="225"/>
      <c r="H20" s="225" t="s">
        <v>66</v>
      </c>
      <c r="I20" s="225"/>
      <c r="J20" s="225"/>
      <c r="K20" s="225" t="s">
        <v>60</v>
      </c>
      <c r="L20" s="225"/>
      <c r="M20" s="232" t="s">
        <v>31</v>
      </c>
    </row>
    <row r="21" spans="1:13" ht="18.95" customHeight="1" x14ac:dyDescent="0.25">
      <c r="A21" s="225"/>
      <c r="B21" s="225"/>
      <c r="C21" s="228"/>
      <c r="D21" s="229"/>
      <c r="E21" s="225"/>
      <c r="F21" s="225"/>
      <c r="G21" s="225"/>
      <c r="H21" s="225"/>
      <c r="I21" s="225"/>
      <c r="J21" s="225"/>
      <c r="K21" s="225"/>
      <c r="L21" s="225"/>
      <c r="M21" s="233"/>
    </row>
    <row r="22" spans="1:13" ht="18.95" customHeight="1" x14ac:dyDescent="0.25">
      <c r="A22" s="225"/>
      <c r="B22" s="225"/>
      <c r="C22" s="230"/>
      <c r="D22" s="231"/>
      <c r="E22" s="225"/>
      <c r="F22" s="225"/>
      <c r="G22" s="225"/>
      <c r="H22" s="225"/>
      <c r="I22" s="225"/>
      <c r="J22" s="225"/>
      <c r="K22" s="225"/>
      <c r="L22" s="225"/>
      <c r="M22" s="234"/>
    </row>
    <row r="23" spans="1:13" ht="18.95" customHeight="1" x14ac:dyDescent="0.25">
      <c r="A23" s="200">
        <v>1</v>
      </c>
      <c r="B23" s="222" t="str">
        <f>D12</f>
        <v>PRODUCTION OFFICE (14)</v>
      </c>
      <c r="C23" s="203" t="s">
        <v>58</v>
      </c>
      <c r="D23" s="205"/>
      <c r="E23" s="221">
        <v>302</v>
      </c>
      <c r="F23" s="221"/>
      <c r="G23" s="221"/>
      <c r="H23" s="203">
        <f>SUM(E23:G26)</f>
        <v>678</v>
      </c>
      <c r="I23" s="204"/>
      <c r="J23" s="205"/>
      <c r="K23" s="212">
        <v>1513.2</v>
      </c>
      <c r="L23" s="213"/>
      <c r="M23" s="218">
        <v>26.88</v>
      </c>
    </row>
    <row r="24" spans="1:13" ht="18.95" customHeight="1" x14ac:dyDescent="0.25">
      <c r="A24" s="201"/>
      <c r="B24" s="223"/>
      <c r="C24" s="206"/>
      <c r="D24" s="208"/>
      <c r="E24" s="221"/>
      <c r="F24" s="221"/>
      <c r="G24" s="221"/>
      <c r="H24" s="206"/>
      <c r="I24" s="207"/>
      <c r="J24" s="208"/>
      <c r="K24" s="214"/>
      <c r="L24" s="215"/>
      <c r="M24" s="219"/>
    </row>
    <row r="25" spans="1:13" ht="18.95" customHeight="1" x14ac:dyDescent="0.25">
      <c r="A25" s="201"/>
      <c r="B25" s="223"/>
      <c r="C25" s="203" t="s">
        <v>59</v>
      </c>
      <c r="D25" s="205"/>
      <c r="E25" s="221">
        <v>376</v>
      </c>
      <c r="F25" s="221"/>
      <c r="G25" s="221"/>
      <c r="H25" s="206"/>
      <c r="I25" s="207"/>
      <c r="J25" s="208"/>
      <c r="K25" s="214"/>
      <c r="L25" s="215"/>
      <c r="M25" s="219"/>
    </row>
    <row r="26" spans="1:13" ht="18.95" customHeight="1" x14ac:dyDescent="0.25">
      <c r="A26" s="202"/>
      <c r="B26" s="224"/>
      <c r="C26" s="209"/>
      <c r="D26" s="211"/>
      <c r="E26" s="221"/>
      <c r="F26" s="221"/>
      <c r="G26" s="221"/>
      <c r="H26" s="209"/>
      <c r="I26" s="210"/>
      <c r="J26" s="211"/>
      <c r="K26" s="216"/>
      <c r="L26" s="217"/>
      <c r="M26" s="220"/>
    </row>
    <row r="27" spans="1:13" ht="18.95" customHeight="1" x14ac:dyDescent="0.25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2"/>
    </row>
    <row r="28" spans="1:13" ht="18.95" customHeight="1" x14ac:dyDescent="0.25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2"/>
    </row>
    <row r="29" spans="1:13" ht="18.95" customHeight="1" x14ac:dyDescent="0.25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2"/>
    </row>
    <row r="30" spans="1:13" ht="18.95" customHeight="1" x14ac:dyDescent="0.25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2"/>
    </row>
    <row r="31" spans="1:13" ht="18.95" customHeight="1" x14ac:dyDescent="0.25">
      <c r="A31" s="194" t="s">
        <v>148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6"/>
    </row>
    <row r="32" spans="1:13" ht="18.95" customHeight="1" x14ac:dyDescent="0.25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2"/>
    </row>
    <row r="33" spans="1:13" ht="18.95" customHeight="1" x14ac:dyDescent="0.25">
      <c r="A33" s="194" t="s">
        <v>155</v>
      </c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6"/>
    </row>
    <row r="34" spans="1:13" ht="18.95" customHeight="1" x14ac:dyDescent="0.25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2"/>
    </row>
    <row r="35" spans="1:13" ht="18.95" customHeight="1" x14ac:dyDescent="0.25">
      <c r="A35" s="38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"/>
    </row>
    <row r="36" spans="1:13" ht="18.95" customHeight="1" x14ac:dyDescent="0.25">
      <c r="A36" s="55"/>
      <c r="B36" s="56"/>
      <c r="C36" s="56"/>
      <c r="D36" s="56"/>
      <c r="E36" s="56"/>
      <c r="F36" s="56"/>
      <c r="G36" s="56"/>
      <c r="H36" s="56"/>
      <c r="I36" s="56"/>
      <c r="J36" s="56"/>
      <c r="K36" s="57"/>
      <c r="L36" s="39"/>
      <c r="M36" s="40"/>
    </row>
    <row r="37" spans="1:13" ht="18.95" customHeight="1" x14ac:dyDescent="0.25">
      <c r="A37" s="193" t="s">
        <v>5</v>
      </c>
      <c r="B37" s="193"/>
      <c r="C37" s="193"/>
      <c r="D37" s="193" t="s">
        <v>6</v>
      </c>
      <c r="E37" s="193"/>
      <c r="F37" s="193"/>
      <c r="G37" s="193"/>
      <c r="H37" s="193"/>
      <c r="I37" s="193"/>
      <c r="J37" s="193" t="s">
        <v>28</v>
      </c>
      <c r="K37" s="193"/>
      <c r="L37" s="193"/>
      <c r="M37" s="193"/>
    </row>
    <row r="38" spans="1:13" ht="18.95" customHeight="1" x14ac:dyDescent="0.25">
      <c r="A38" s="38"/>
      <c r="B38" s="187"/>
      <c r="C38" s="18"/>
      <c r="D38" s="41"/>
      <c r="E38" s="42"/>
      <c r="F38" s="42"/>
      <c r="G38" s="42"/>
      <c r="H38" s="42"/>
      <c r="I38" s="43"/>
      <c r="J38" s="38"/>
      <c r="K38" s="187"/>
      <c r="L38" s="187"/>
      <c r="M38" s="18"/>
    </row>
    <row r="39" spans="1:13" ht="18.95" customHeight="1" x14ac:dyDescent="0.25">
      <c r="A39" s="38"/>
      <c r="B39" s="187"/>
      <c r="C39" s="18"/>
      <c r="D39" s="38"/>
      <c r="E39" s="187"/>
      <c r="F39" s="187"/>
      <c r="G39" s="187"/>
      <c r="H39" s="187"/>
      <c r="I39" s="18"/>
      <c r="J39" s="38"/>
      <c r="K39" s="187"/>
      <c r="L39" s="187"/>
      <c r="M39" s="18"/>
    </row>
    <row r="40" spans="1:13" ht="18.95" customHeight="1" x14ac:dyDescent="0.25">
      <c r="A40" s="58"/>
      <c r="B40" s="188"/>
      <c r="C40" s="59"/>
      <c r="D40" s="38"/>
      <c r="E40" s="187"/>
      <c r="F40" s="187"/>
      <c r="G40" s="187"/>
      <c r="H40" s="187"/>
      <c r="I40" s="18"/>
      <c r="J40" s="58"/>
      <c r="K40" s="188"/>
      <c r="L40" s="188"/>
      <c r="M40" s="59"/>
    </row>
    <row r="41" spans="1:13" ht="18.95" customHeight="1" x14ac:dyDescent="0.25">
      <c r="A41" s="58"/>
      <c r="B41" s="188"/>
      <c r="C41" s="59"/>
      <c r="D41" s="95"/>
      <c r="E41" s="187"/>
      <c r="F41" s="187"/>
      <c r="G41" s="187"/>
      <c r="H41" s="187"/>
      <c r="I41" s="18"/>
      <c r="J41" s="96"/>
      <c r="K41" s="188"/>
      <c r="L41" s="188"/>
      <c r="M41" s="59"/>
    </row>
    <row r="42" spans="1:13" ht="18.95" customHeight="1" x14ac:dyDescent="0.25">
      <c r="A42" s="189" t="s">
        <v>32</v>
      </c>
      <c r="B42" s="190"/>
      <c r="C42" s="190"/>
      <c r="D42" s="486" t="s">
        <v>11</v>
      </c>
      <c r="E42" s="193"/>
      <c r="F42" s="193"/>
      <c r="G42" s="193"/>
      <c r="H42" s="193"/>
      <c r="I42" s="193"/>
      <c r="J42" s="193"/>
      <c r="K42" s="193"/>
      <c r="L42" s="193"/>
      <c r="M42" s="193"/>
    </row>
    <row r="43" spans="1:13" ht="18.95" customHeight="1" x14ac:dyDescent="0.25">
      <c r="A43" s="191"/>
      <c r="B43" s="192"/>
      <c r="C43" s="192"/>
      <c r="D43" s="193"/>
      <c r="E43" s="193"/>
      <c r="F43" s="193"/>
      <c r="G43" s="193"/>
      <c r="H43" s="193"/>
      <c r="I43" s="193"/>
      <c r="J43" s="193"/>
      <c r="K43" s="193"/>
      <c r="L43" s="193"/>
      <c r="M43" s="193"/>
    </row>
    <row r="44" spans="1:13" ht="18.95" customHeight="1" x14ac:dyDescent="0.25"/>
    <row r="45" spans="1:13" ht="18.95" customHeight="1" x14ac:dyDescent="0.25"/>
  </sheetData>
  <mergeCells count="39">
    <mergeCell ref="A2:M2"/>
    <mergeCell ref="A3:B3"/>
    <mergeCell ref="A4:C5"/>
    <mergeCell ref="A6:B6"/>
    <mergeCell ref="A33:M33"/>
    <mergeCell ref="A7:B7"/>
    <mergeCell ref="A8:B8"/>
    <mergeCell ref="A9:B9"/>
    <mergeCell ref="D9:E9"/>
    <mergeCell ref="A10:B10"/>
    <mergeCell ref="A11:B11"/>
    <mergeCell ref="D11:E11"/>
    <mergeCell ref="A12:B12"/>
    <mergeCell ref="D14:I14"/>
    <mergeCell ref="J14:M14"/>
    <mergeCell ref="D15:I18"/>
    <mergeCell ref="J15:M18"/>
    <mergeCell ref="A20:A22"/>
    <mergeCell ref="B20:B22"/>
    <mergeCell ref="C20:D22"/>
    <mergeCell ref="E20:G22"/>
    <mergeCell ref="H20:J22"/>
    <mergeCell ref="K20:L22"/>
    <mergeCell ref="M20:M22"/>
    <mergeCell ref="A23:A26"/>
    <mergeCell ref="H23:J26"/>
    <mergeCell ref="K23:L26"/>
    <mergeCell ref="M23:M26"/>
    <mergeCell ref="C23:D24"/>
    <mergeCell ref="E23:G24"/>
    <mergeCell ref="C25:D26"/>
    <mergeCell ref="E25:G26"/>
    <mergeCell ref="B23:B26"/>
    <mergeCell ref="A42:C43"/>
    <mergeCell ref="D42:M43"/>
    <mergeCell ref="A31:M31"/>
    <mergeCell ref="A37:C37"/>
    <mergeCell ref="D37:I37"/>
    <mergeCell ref="J37:M37"/>
  </mergeCells>
  <printOptions horizontalCentered="1"/>
  <pageMargins left="0" right="0" top="0.39370078740157483" bottom="0.39370078740157483" header="0" footer="0"/>
  <pageSetup paperSize="9"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view="pageLayout" topLeftCell="A4" zoomScale="98" zoomScaleNormal="100" zoomScaleSheetLayoutView="100" zoomScalePageLayoutView="98" workbookViewId="0">
      <selection activeCell="A12" activeCellId="1" sqref="A12:XFD12 A12:XFD12"/>
    </sheetView>
  </sheetViews>
  <sheetFormatPr defaultRowHeight="16.5" customHeight="1" x14ac:dyDescent="0.25"/>
  <cols>
    <col min="1" max="1" width="15.28515625" customWidth="1"/>
    <col min="2" max="2" width="6.5703125" customWidth="1"/>
    <col min="3" max="3" width="7.85546875" customWidth="1"/>
    <col min="4" max="4" width="12.42578125" customWidth="1"/>
    <col min="5" max="5" width="9.140625" customWidth="1"/>
    <col min="6" max="6" width="10.42578125" customWidth="1"/>
    <col min="7" max="7" width="10.5703125" customWidth="1"/>
    <col min="8" max="8" width="15.42578125" customWidth="1"/>
    <col min="9" max="9" width="10.5703125" customWidth="1"/>
    <col min="10" max="10" width="7.5703125" customWidth="1"/>
    <col min="11" max="11" width="4.85546875" customWidth="1"/>
  </cols>
  <sheetData>
    <row r="1" spans="1:11" ht="18" customHeight="1" x14ac:dyDescent="0.25"/>
    <row r="2" spans="1:11" ht="18" customHeight="1" x14ac:dyDescent="0.25">
      <c r="A2" s="257" t="s">
        <v>0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</row>
    <row r="3" spans="1:11" ht="18" customHeight="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8" customHeight="1" x14ac:dyDescent="0.25">
      <c r="A4" s="236" t="s">
        <v>18</v>
      </c>
      <c r="B4" s="236"/>
      <c r="C4" s="74" t="s">
        <v>1</v>
      </c>
      <c r="D4" s="45" t="s">
        <v>2</v>
      </c>
      <c r="E4" s="45"/>
      <c r="F4" s="45"/>
      <c r="G4" s="45"/>
      <c r="H4" s="45"/>
      <c r="I4" s="45"/>
      <c r="J4" s="45"/>
      <c r="K4" s="45"/>
    </row>
    <row r="5" spans="1:11" ht="18" customHeight="1" x14ac:dyDescent="0.25">
      <c r="A5" s="237"/>
      <c r="B5" s="237"/>
      <c r="C5" s="237"/>
      <c r="D5" s="47" t="s">
        <v>3</v>
      </c>
      <c r="E5" s="47"/>
      <c r="F5" s="45"/>
      <c r="G5" s="45"/>
      <c r="H5" s="45"/>
      <c r="I5" s="45"/>
      <c r="J5" s="45"/>
      <c r="K5" s="45"/>
    </row>
    <row r="6" spans="1:11" ht="18" customHeight="1" x14ac:dyDescent="0.25">
      <c r="A6" s="237"/>
      <c r="B6" s="237"/>
      <c r="C6" s="237"/>
      <c r="D6" s="45" t="s">
        <v>4</v>
      </c>
      <c r="E6" s="45"/>
      <c r="F6" s="45"/>
      <c r="G6" s="45"/>
      <c r="H6" s="45"/>
      <c r="I6" s="45"/>
      <c r="J6" s="45"/>
      <c r="K6" s="45"/>
    </row>
    <row r="7" spans="1:11" ht="18" customHeight="1" x14ac:dyDescent="0.25">
      <c r="A7" s="238" t="s">
        <v>19</v>
      </c>
      <c r="B7" s="238"/>
      <c r="C7" s="68" t="s">
        <v>1</v>
      </c>
      <c r="D7" s="90" t="s">
        <v>78</v>
      </c>
      <c r="E7" s="90"/>
      <c r="F7" s="45"/>
      <c r="G7" s="45"/>
      <c r="H7" s="45"/>
      <c r="I7" s="45"/>
      <c r="J7" s="45"/>
      <c r="K7" s="45"/>
    </row>
    <row r="8" spans="1:11" ht="18" customHeight="1" x14ac:dyDescent="0.25">
      <c r="A8" s="238" t="s">
        <v>20</v>
      </c>
      <c r="B8" s="238"/>
      <c r="C8" s="68" t="s">
        <v>1</v>
      </c>
      <c r="D8" s="90" t="s">
        <v>79</v>
      </c>
      <c r="E8" s="90"/>
      <c r="F8" s="45"/>
      <c r="G8" s="45"/>
      <c r="H8" s="45"/>
      <c r="I8" s="45"/>
      <c r="J8" s="45"/>
      <c r="K8" s="45"/>
    </row>
    <row r="9" spans="1:11" ht="18" customHeight="1" x14ac:dyDescent="0.25">
      <c r="A9" s="239" t="s">
        <v>21</v>
      </c>
      <c r="B9" s="239"/>
      <c r="C9" s="74" t="s">
        <v>1</v>
      </c>
      <c r="D9" s="45" t="s">
        <v>77</v>
      </c>
      <c r="E9" s="45"/>
      <c r="F9" s="45"/>
      <c r="G9" s="45"/>
      <c r="H9" s="45"/>
      <c r="I9" s="45"/>
      <c r="J9" s="45"/>
      <c r="K9" s="45"/>
    </row>
    <row r="10" spans="1:11" ht="18" customHeight="1" x14ac:dyDescent="0.25">
      <c r="A10" s="239" t="s">
        <v>22</v>
      </c>
      <c r="B10" s="239"/>
      <c r="C10" s="74" t="s">
        <v>1</v>
      </c>
      <c r="D10" s="258">
        <v>44636</v>
      </c>
      <c r="E10" s="258"/>
      <c r="F10" s="258"/>
      <c r="G10" s="75"/>
      <c r="H10" s="45"/>
      <c r="I10" s="45"/>
      <c r="J10" s="45"/>
      <c r="K10" s="45"/>
    </row>
    <row r="11" spans="1:11" ht="18" customHeight="1" x14ac:dyDescent="0.25">
      <c r="A11" s="239" t="s">
        <v>23</v>
      </c>
      <c r="B11" s="239"/>
      <c r="C11" s="74" t="s">
        <v>1</v>
      </c>
      <c r="D11" s="48" t="s">
        <v>7</v>
      </c>
      <c r="E11" s="48"/>
      <c r="F11" s="45"/>
      <c r="G11" s="45"/>
      <c r="H11" s="45"/>
      <c r="I11" s="45"/>
      <c r="J11" s="45"/>
      <c r="K11" s="45"/>
    </row>
    <row r="12" spans="1:11" ht="18" customHeight="1" x14ac:dyDescent="0.25">
      <c r="A12" s="239" t="s">
        <v>24</v>
      </c>
      <c r="B12" s="239"/>
      <c r="C12" s="74" t="s">
        <v>1</v>
      </c>
      <c r="D12" s="241" t="s">
        <v>26</v>
      </c>
      <c r="E12" s="241"/>
      <c r="F12" s="241"/>
      <c r="G12" s="73"/>
      <c r="H12" s="45"/>
      <c r="I12" s="45"/>
      <c r="J12" s="45"/>
      <c r="K12" s="45"/>
    </row>
    <row r="13" spans="1:11" ht="18" customHeight="1" x14ac:dyDescent="0.25">
      <c r="A13" s="239" t="s">
        <v>25</v>
      </c>
      <c r="B13" s="239"/>
      <c r="C13" s="74" t="s">
        <v>1</v>
      </c>
      <c r="D13" s="91" t="s">
        <v>61</v>
      </c>
      <c r="E13" s="104"/>
      <c r="F13" s="49"/>
      <c r="G13" s="49"/>
      <c r="H13" s="45"/>
      <c r="I13" s="45"/>
      <c r="J13" s="45"/>
      <c r="K13" s="45"/>
    </row>
    <row r="14" spans="1:11" ht="18" customHeight="1" x14ac:dyDescent="0.25">
      <c r="A14" s="19"/>
      <c r="B14" s="19"/>
      <c r="C14" s="50"/>
      <c r="F14" s="49"/>
      <c r="G14" s="49"/>
      <c r="H14" s="45"/>
      <c r="I14" s="45"/>
      <c r="J14" s="45"/>
      <c r="K14" s="45"/>
    </row>
    <row r="15" spans="1:11" ht="18" customHeight="1" x14ac:dyDescent="0.25">
      <c r="A15" s="253" t="s">
        <v>27</v>
      </c>
      <c r="B15" s="254"/>
      <c r="C15" s="255"/>
      <c r="D15" s="269" t="s">
        <v>8</v>
      </c>
      <c r="E15" s="269"/>
      <c r="F15" s="269"/>
      <c r="G15" s="269"/>
      <c r="H15" s="269" t="s">
        <v>13</v>
      </c>
      <c r="I15" s="269"/>
      <c r="J15" s="269"/>
      <c r="K15" s="269"/>
    </row>
    <row r="16" spans="1:11" ht="18" customHeight="1" x14ac:dyDescent="0.25">
      <c r="A16" s="60" t="s">
        <v>14</v>
      </c>
      <c r="B16" s="77"/>
      <c r="C16" s="78"/>
      <c r="D16" s="270">
        <v>44471</v>
      </c>
      <c r="E16" s="270"/>
      <c r="F16" s="270"/>
      <c r="G16" s="270"/>
      <c r="H16" s="270">
        <v>44835</v>
      </c>
      <c r="I16" s="270"/>
      <c r="J16" s="270"/>
      <c r="K16" s="270"/>
    </row>
    <row r="17" spans="1:11" ht="18" customHeight="1" x14ac:dyDescent="0.25">
      <c r="A17" s="97" t="s">
        <v>73</v>
      </c>
      <c r="B17" s="73"/>
      <c r="C17" s="76"/>
      <c r="D17" s="270"/>
      <c r="E17" s="270"/>
      <c r="F17" s="270"/>
      <c r="G17" s="270"/>
      <c r="H17" s="270"/>
      <c r="I17" s="270"/>
      <c r="J17" s="270"/>
      <c r="K17" s="270"/>
    </row>
    <row r="18" spans="1:11" ht="18" customHeight="1" x14ac:dyDescent="0.25">
      <c r="A18" s="97" t="s">
        <v>152</v>
      </c>
      <c r="B18" s="470"/>
      <c r="C18" s="105"/>
      <c r="D18" s="270"/>
      <c r="E18" s="270"/>
      <c r="F18" s="270"/>
      <c r="G18" s="270"/>
      <c r="H18" s="270"/>
      <c r="I18" s="270"/>
      <c r="J18" s="270"/>
      <c r="K18" s="270"/>
    </row>
    <row r="19" spans="1:11" ht="18" customHeight="1" x14ac:dyDescent="0.25">
      <c r="A19" s="472" t="s">
        <v>149</v>
      </c>
      <c r="B19" s="473"/>
      <c r="C19" s="474"/>
      <c r="D19" s="480">
        <v>46061</v>
      </c>
      <c r="E19" s="465"/>
      <c r="F19" s="465"/>
      <c r="G19" s="467"/>
      <c r="H19" s="465">
        <v>46425</v>
      </c>
      <c r="I19" s="465"/>
      <c r="J19" s="465"/>
      <c r="K19" s="467"/>
    </row>
    <row r="20" spans="1:11" ht="18" customHeight="1" x14ac:dyDescent="0.25">
      <c r="A20" s="475" t="s">
        <v>150</v>
      </c>
      <c r="B20" s="471"/>
      <c r="C20" s="476"/>
      <c r="D20" s="481"/>
      <c r="E20" s="464"/>
      <c r="F20" s="464"/>
      <c r="G20" s="468"/>
      <c r="H20" s="464"/>
      <c r="I20" s="464"/>
      <c r="J20" s="464"/>
      <c r="K20" s="468"/>
    </row>
    <row r="21" spans="1:11" ht="18" customHeight="1" x14ac:dyDescent="0.25">
      <c r="A21" s="477" t="s">
        <v>151</v>
      </c>
      <c r="B21" s="478"/>
      <c r="C21" s="479"/>
      <c r="D21" s="482"/>
      <c r="E21" s="466"/>
      <c r="F21" s="466"/>
      <c r="G21" s="469"/>
      <c r="H21" s="466"/>
      <c r="I21" s="466"/>
      <c r="J21" s="466"/>
      <c r="K21" s="469"/>
    </row>
    <row r="22" spans="1:11" ht="18" customHeight="1" x14ac:dyDescent="0.25">
      <c r="A22" s="275" t="s">
        <v>64</v>
      </c>
      <c r="B22" s="262" t="s">
        <v>9</v>
      </c>
      <c r="C22" s="263"/>
      <c r="D22" s="277" t="s">
        <v>70</v>
      </c>
      <c r="E22" s="522" t="s">
        <v>170</v>
      </c>
      <c r="F22" s="274" t="s">
        <v>15</v>
      </c>
      <c r="G22" s="274" t="s">
        <v>71</v>
      </c>
      <c r="H22" s="259" t="s">
        <v>89</v>
      </c>
      <c r="I22" s="271" t="s">
        <v>16</v>
      </c>
      <c r="J22" s="260" t="s">
        <v>12</v>
      </c>
      <c r="K22" s="261"/>
    </row>
    <row r="23" spans="1:11" ht="18" customHeight="1" x14ac:dyDescent="0.25">
      <c r="A23" s="275"/>
      <c r="B23" s="262"/>
      <c r="C23" s="263"/>
      <c r="D23" s="277"/>
      <c r="E23" s="521"/>
      <c r="F23" s="275"/>
      <c r="G23" s="275"/>
      <c r="H23" s="259"/>
      <c r="I23" s="272"/>
      <c r="J23" s="262"/>
      <c r="K23" s="263"/>
    </row>
    <row r="24" spans="1:11" ht="18" customHeight="1" x14ac:dyDescent="0.25">
      <c r="A24" s="275"/>
      <c r="B24" s="262"/>
      <c r="C24" s="263"/>
      <c r="D24" s="277"/>
      <c r="E24" s="521"/>
      <c r="F24" s="275"/>
      <c r="G24" s="275"/>
      <c r="H24" s="259"/>
      <c r="I24" s="272"/>
      <c r="J24" s="262"/>
      <c r="K24" s="263"/>
    </row>
    <row r="25" spans="1:11" ht="18" customHeight="1" x14ac:dyDescent="0.25">
      <c r="A25" s="276"/>
      <c r="B25" s="264"/>
      <c r="C25" s="265"/>
      <c r="D25" s="277"/>
      <c r="E25" s="523"/>
      <c r="F25" s="275"/>
      <c r="G25" s="276"/>
      <c r="H25" s="259"/>
      <c r="I25" s="273"/>
      <c r="J25" s="264"/>
      <c r="K25" s="265"/>
    </row>
    <row r="26" spans="1:11" ht="18" customHeight="1" x14ac:dyDescent="0.25">
      <c r="A26" s="281" t="str">
        <f>D13</f>
        <v>PACKING MATERIAL TESTING (45)</v>
      </c>
      <c r="B26" s="203" t="s">
        <v>62</v>
      </c>
      <c r="C26" s="205"/>
      <c r="D26" s="282">
        <v>12</v>
      </c>
      <c r="E26" s="524">
        <v>1</v>
      </c>
      <c r="F26" s="284">
        <v>0</v>
      </c>
      <c r="G26" s="256">
        <v>13</v>
      </c>
      <c r="H26" s="285">
        <f>G26/D26*100</f>
        <v>108.33333333333333</v>
      </c>
      <c r="I26" s="250" t="s">
        <v>72</v>
      </c>
      <c r="J26" s="286" t="s">
        <v>17</v>
      </c>
      <c r="K26" s="286"/>
    </row>
    <row r="27" spans="1:11" ht="18" customHeight="1" x14ac:dyDescent="0.25">
      <c r="A27" s="281"/>
      <c r="B27" s="206"/>
      <c r="C27" s="208"/>
      <c r="D27" s="283"/>
      <c r="E27" s="525"/>
      <c r="F27" s="284"/>
      <c r="G27" s="256"/>
      <c r="H27" s="285"/>
      <c r="I27" s="251"/>
      <c r="J27" s="286"/>
      <c r="K27" s="286"/>
    </row>
    <row r="28" spans="1:11" ht="18" customHeight="1" x14ac:dyDescent="0.25">
      <c r="A28" s="281"/>
      <c r="B28" s="203" t="s">
        <v>63</v>
      </c>
      <c r="C28" s="205"/>
      <c r="D28" s="287">
        <v>14</v>
      </c>
      <c r="E28" s="524">
        <v>1</v>
      </c>
      <c r="F28" s="284">
        <v>1.0000000000000001E-5</v>
      </c>
      <c r="G28" s="256">
        <v>13</v>
      </c>
      <c r="H28" s="285">
        <f>G28/D28*100</f>
        <v>92.857142857142861</v>
      </c>
      <c r="I28" s="250" t="s">
        <v>72</v>
      </c>
      <c r="J28" s="286" t="s">
        <v>17</v>
      </c>
      <c r="K28" s="286"/>
    </row>
    <row r="29" spans="1:11" ht="18" customHeight="1" x14ac:dyDescent="0.25">
      <c r="A29" s="281"/>
      <c r="B29" s="209"/>
      <c r="C29" s="211"/>
      <c r="D29" s="283"/>
      <c r="E29" s="525"/>
      <c r="F29" s="284"/>
      <c r="G29" s="256"/>
      <c r="H29" s="285"/>
      <c r="I29" s="251"/>
      <c r="J29" s="286"/>
      <c r="K29" s="286"/>
    </row>
    <row r="30" spans="1:11" ht="18" customHeight="1" x14ac:dyDescent="0.25">
      <c r="A30" s="66"/>
      <c r="B30" s="83"/>
      <c r="C30" s="83"/>
      <c r="D30" s="83"/>
      <c r="E30" s="83"/>
      <c r="F30" s="83"/>
      <c r="G30" s="83"/>
      <c r="H30" s="83"/>
      <c r="I30" s="83"/>
      <c r="J30" s="83"/>
      <c r="K30" s="84"/>
    </row>
    <row r="31" spans="1:11" ht="18" customHeight="1" x14ac:dyDescent="0.25">
      <c r="A31" s="66"/>
      <c r="B31" s="83"/>
      <c r="C31" s="83"/>
      <c r="D31" s="83"/>
      <c r="E31" s="83"/>
      <c r="F31" s="83"/>
      <c r="G31" s="83"/>
      <c r="H31" s="83"/>
      <c r="I31" s="83"/>
      <c r="J31" s="83"/>
      <c r="K31" s="84"/>
    </row>
    <row r="32" spans="1:11" ht="18" customHeight="1" x14ac:dyDescent="0.25">
      <c r="A32" s="66"/>
      <c r="B32" s="83"/>
      <c r="C32" s="83"/>
      <c r="D32" s="83"/>
      <c r="E32" s="83"/>
      <c r="F32" s="83"/>
      <c r="G32" s="83"/>
      <c r="H32" s="83"/>
      <c r="I32" s="83"/>
      <c r="J32" s="83"/>
      <c r="K32" s="84"/>
    </row>
    <row r="33" spans="1:11" ht="18" customHeight="1" x14ac:dyDescent="0.25">
      <c r="A33" s="266" t="s">
        <v>153</v>
      </c>
      <c r="B33" s="267"/>
      <c r="C33" s="267"/>
      <c r="D33" s="267"/>
      <c r="E33" s="267"/>
      <c r="F33" s="267"/>
      <c r="G33" s="267"/>
      <c r="H33" s="267"/>
      <c r="I33" s="267"/>
      <c r="J33" s="267"/>
      <c r="K33" s="268"/>
    </row>
    <row r="34" spans="1:11" ht="18" customHeight="1" x14ac:dyDescent="0.25">
      <c r="A34" s="66"/>
      <c r="B34" s="83"/>
      <c r="C34" s="83"/>
      <c r="D34" s="83"/>
      <c r="E34" s="83"/>
      <c r="F34" s="83"/>
      <c r="G34" s="83"/>
      <c r="H34" s="83"/>
      <c r="I34" s="83"/>
      <c r="J34" s="83"/>
      <c r="K34" s="84"/>
    </row>
    <row r="35" spans="1:11" ht="18" customHeight="1" x14ac:dyDescent="0.25">
      <c r="A35" s="483" t="s">
        <v>154</v>
      </c>
      <c r="B35" s="484"/>
      <c r="C35" s="484"/>
      <c r="D35" s="484"/>
      <c r="E35" s="484"/>
      <c r="F35" s="484"/>
      <c r="G35" s="484"/>
      <c r="H35" s="484"/>
      <c r="I35" s="484"/>
      <c r="J35" s="484"/>
      <c r="K35" s="485"/>
    </row>
    <row r="36" spans="1:11" ht="18" customHeight="1" x14ac:dyDescent="0.25">
      <c r="A36" s="106"/>
      <c r="B36" s="107"/>
      <c r="C36" s="107"/>
      <c r="D36" s="107"/>
      <c r="E36" s="107"/>
      <c r="F36" s="107"/>
      <c r="G36" s="107"/>
      <c r="H36" s="107"/>
      <c r="I36" s="107"/>
      <c r="J36" s="107"/>
      <c r="K36" s="108"/>
    </row>
    <row r="37" spans="1:11" ht="18" customHeight="1" x14ac:dyDescent="0.25">
      <c r="A37" s="288" t="s">
        <v>5</v>
      </c>
      <c r="B37" s="289"/>
      <c r="C37" s="290"/>
      <c r="D37" s="288" t="s">
        <v>6</v>
      </c>
      <c r="E37" s="289"/>
      <c r="F37" s="289"/>
      <c r="G37" s="289"/>
      <c r="H37" s="189" t="s">
        <v>28</v>
      </c>
      <c r="I37" s="190"/>
      <c r="J37" s="190"/>
      <c r="K37" s="252"/>
    </row>
    <row r="38" spans="1:11" ht="18" customHeight="1" x14ac:dyDescent="0.25">
      <c r="A38" s="51"/>
      <c r="B38" s="52"/>
      <c r="C38" s="52"/>
      <c r="D38" s="61"/>
      <c r="E38" s="62"/>
      <c r="F38" s="62"/>
      <c r="G38" s="62"/>
      <c r="H38" s="51"/>
      <c r="I38" s="52"/>
      <c r="J38" s="52"/>
      <c r="K38" s="63"/>
    </row>
    <row r="39" spans="1:11" ht="18" customHeight="1" x14ac:dyDescent="0.25">
      <c r="A39" s="53"/>
      <c r="B39" s="45"/>
      <c r="C39" s="45"/>
      <c r="D39" s="64"/>
      <c r="E39" s="82"/>
      <c r="F39" s="65"/>
      <c r="G39" s="65"/>
      <c r="H39" s="53"/>
      <c r="I39" s="81"/>
      <c r="J39" s="81"/>
      <c r="K39" s="46"/>
    </row>
    <row r="40" spans="1:11" ht="18" customHeight="1" x14ac:dyDescent="0.25">
      <c r="A40" s="53"/>
      <c r="B40" s="45"/>
      <c r="C40" s="45"/>
      <c r="D40" s="64"/>
      <c r="E40" s="82"/>
      <c r="F40" s="65"/>
      <c r="G40" s="65"/>
      <c r="H40" s="53"/>
      <c r="I40" s="81"/>
      <c r="J40" s="81"/>
      <c r="K40" s="46"/>
    </row>
    <row r="41" spans="1:11" ht="18" customHeight="1" x14ac:dyDescent="0.25">
      <c r="A41" s="53"/>
      <c r="B41" s="45"/>
      <c r="C41" s="45"/>
      <c r="D41" s="95"/>
      <c r="E41" s="103"/>
      <c r="F41" s="65"/>
      <c r="G41" s="65"/>
      <c r="H41" s="95"/>
      <c r="I41" s="103"/>
      <c r="J41" s="82"/>
      <c r="K41" s="46"/>
    </row>
    <row r="42" spans="1:11" ht="18" customHeight="1" x14ac:dyDescent="0.25">
      <c r="A42" s="197"/>
      <c r="B42" s="198"/>
      <c r="C42" s="199"/>
      <c r="D42" s="197"/>
      <c r="E42" s="198"/>
      <c r="F42" s="198"/>
      <c r="G42" s="198"/>
      <c r="H42" s="197"/>
      <c r="I42" s="198"/>
      <c r="J42" s="198"/>
      <c r="K42" s="199"/>
    </row>
    <row r="43" spans="1:11" ht="18" customHeight="1" x14ac:dyDescent="0.25">
      <c r="A43" s="278" t="s">
        <v>10</v>
      </c>
      <c r="B43" s="279"/>
      <c r="C43" s="280"/>
      <c r="D43" s="487" t="s">
        <v>11</v>
      </c>
      <c r="E43" s="488"/>
      <c r="F43" s="488"/>
      <c r="G43" s="488"/>
      <c r="H43" s="488"/>
      <c r="I43" s="488"/>
      <c r="J43" s="488"/>
      <c r="K43" s="489"/>
    </row>
    <row r="44" spans="1:11" ht="18" customHeight="1" x14ac:dyDescent="0.25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</row>
    <row r="45" spans="1:11" ht="18" customHeight="1" x14ac:dyDescent="0.25"/>
  </sheetData>
  <mergeCells count="58">
    <mergeCell ref="H19:K21"/>
    <mergeCell ref="E22:E25"/>
    <mergeCell ref="E26:E27"/>
    <mergeCell ref="E28:E29"/>
    <mergeCell ref="A43:C43"/>
    <mergeCell ref="D43:K43"/>
    <mergeCell ref="A26:A29"/>
    <mergeCell ref="B26:C27"/>
    <mergeCell ref="D26:D27"/>
    <mergeCell ref="F26:F27"/>
    <mergeCell ref="H26:H27"/>
    <mergeCell ref="J26:K27"/>
    <mergeCell ref="B28:C29"/>
    <mergeCell ref="D28:D29"/>
    <mergeCell ref="F28:F29"/>
    <mergeCell ref="H28:H29"/>
    <mergeCell ref="J28:K29"/>
    <mergeCell ref="A37:C37"/>
    <mergeCell ref="D37:G37"/>
    <mergeCell ref="H22:H25"/>
    <mergeCell ref="J22:K25"/>
    <mergeCell ref="A33:K33"/>
    <mergeCell ref="A8:B8"/>
    <mergeCell ref="A9:B9"/>
    <mergeCell ref="A10:B10"/>
    <mergeCell ref="A11:B11"/>
    <mergeCell ref="D15:G15"/>
    <mergeCell ref="D16:G18"/>
    <mergeCell ref="H15:K15"/>
    <mergeCell ref="H16:K18"/>
    <mergeCell ref="I22:I25"/>
    <mergeCell ref="A22:A25"/>
    <mergeCell ref="B22:C25"/>
    <mergeCell ref="D22:D25"/>
    <mergeCell ref="F22:F25"/>
    <mergeCell ref="A2:K2"/>
    <mergeCell ref="A4:B4"/>
    <mergeCell ref="A5:C6"/>
    <mergeCell ref="A7:B7"/>
    <mergeCell ref="D10:F10"/>
    <mergeCell ref="D12:F12"/>
    <mergeCell ref="A15:C15"/>
    <mergeCell ref="A12:B12"/>
    <mergeCell ref="A13:B13"/>
    <mergeCell ref="G26:G27"/>
    <mergeCell ref="G22:G25"/>
    <mergeCell ref="A19:C19"/>
    <mergeCell ref="A20:C20"/>
    <mergeCell ref="A21:C21"/>
    <mergeCell ref="D19:G21"/>
    <mergeCell ref="I26:I27"/>
    <mergeCell ref="I28:I29"/>
    <mergeCell ref="H37:K37"/>
    <mergeCell ref="A42:C42"/>
    <mergeCell ref="D42:G42"/>
    <mergeCell ref="H42:K42"/>
    <mergeCell ref="G28:G29"/>
    <mergeCell ref="A35:K35"/>
  </mergeCells>
  <printOptions horizontalCentered="1"/>
  <pageMargins left="0" right="0" top="0.27559055118110237" bottom="0.39370078740157483" header="0" footer="0"/>
  <pageSetup paperSize="9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view="pageLayout" topLeftCell="A37" zoomScale="98" zoomScaleNormal="100" zoomScaleSheetLayoutView="100" zoomScalePageLayoutView="98" workbookViewId="0">
      <selection activeCell="E14" sqref="E14"/>
    </sheetView>
  </sheetViews>
  <sheetFormatPr defaultRowHeight="15" x14ac:dyDescent="0.25"/>
  <cols>
    <col min="1" max="1" width="7.5703125" customWidth="1"/>
    <col min="2" max="2" width="22.140625" customWidth="1"/>
    <col min="3" max="3" width="9.42578125" customWidth="1"/>
    <col min="4" max="4" width="8.28515625" customWidth="1"/>
    <col min="5" max="5" width="16.5703125" customWidth="1"/>
    <col min="6" max="6" width="15.5703125" customWidth="1"/>
    <col min="7" max="7" width="11.28515625" customWidth="1"/>
    <col min="8" max="8" width="28.7109375" customWidth="1"/>
  </cols>
  <sheetData>
    <row r="1" spans="1:8" ht="18" customHeight="1" x14ac:dyDescent="0.25"/>
    <row r="2" spans="1:8" ht="18" customHeight="1" x14ac:dyDescent="0.25"/>
    <row r="3" spans="1:8" ht="18" customHeight="1" x14ac:dyDescent="0.25">
      <c r="A3" s="291" t="s">
        <v>0</v>
      </c>
      <c r="B3" s="291"/>
      <c r="C3" s="291"/>
      <c r="D3" s="291"/>
      <c r="E3" s="291"/>
      <c r="F3" s="291"/>
      <c r="G3" s="291"/>
      <c r="H3" s="291"/>
    </row>
    <row r="4" spans="1:8" ht="18" customHeight="1" x14ac:dyDescent="0.25">
      <c r="A4" s="31"/>
      <c r="B4" s="31"/>
      <c r="C4" s="31"/>
      <c r="D4" s="31"/>
      <c r="E4" s="31"/>
      <c r="F4" s="31"/>
      <c r="G4" s="31"/>
      <c r="H4" s="31"/>
    </row>
    <row r="5" spans="1:8" ht="18" customHeight="1" x14ac:dyDescent="0.25">
      <c r="A5" s="292" t="s">
        <v>18</v>
      </c>
      <c r="B5" s="292"/>
      <c r="C5" s="30" t="s">
        <v>1</v>
      </c>
      <c r="D5" s="1" t="s">
        <v>2</v>
      </c>
      <c r="E5" s="1"/>
      <c r="F5" s="1"/>
      <c r="G5" s="1"/>
      <c r="H5" s="1"/>
    </row>
    <row r="6" spans="1:8" ht="18" customHeight="1" x14ac:dyDescent="0.25">
      <c r="A6" s="293"/>
      <c r="B6" s="293"/>
      <c r="C6" s="293"/>
      <c r="D6" s="3" t="s">
        <v>3</v>
      </c>
      <c r="E6" s="1"/>
      <c r="F6" s="1"/>
      <c r="G6" s="1"/>
      <c r="H6" s="1"/>
    </row>
    <row r="7" spans="1:8" ht="18" customHeight="1" x14ac:dyDescent="0.25">
      <c r="A7" s="293"/>
      <c r="B7" s="293"/>
      <c r="C7" s="293"/>
      <c r="D7" s="1" t="s">
        <v>4</v>
      </c>
      <c r="E7" s="1"/>
      <c r="F7" s="1"/>
      <c r="G7" s="1"/>
      <c r="H7" s="1"/>
    </row>
    <row r="8" spans="1:8" ht="18" customHeight="1" x14ac:dyDescent="0.25">
      <c r="A8" s="313" t="s">
        <v>19</v>
      </c>
      <c r="B8" s="313"/>
      <c r="C8" s="16" t="s">
        <v>1</v>
      </c>
      <c r="D8" s="98" t="s">
        <v>84</v>
      </c>
      <c r="E8" s="1"/>
      <c r="F8" s="1"/>
      <c r="G8" s="1"/>
      <c r="H8" s="1"/>
    </row>
    <row r="9" spans="1:8" ht="18" customHeight="1" x14ac:dyDescent="0.25">
      <c r="A9" s="313" t="s">
        <v>20</v>
      </c>
      <c r="B9" s="313"/>
      <c r="C9" s="16" t="s">
        <v>1</v>
      </c>
      <c r="D9" s="99" t="s">
        <v>83</v>
      </c>
      <c r="E9" s="1"/>
      <c r="F9" s="1"/>
      <c r="G9" s="1"/>
      <c r="H9" s="1"/>
    </row>
    <row r="10" spans="1:8" ht="18" customHeight="1" x14ac:dyDescent="0.25">
      <c r="A10" s="301" t="s">
        <v>21</v>
      </c>
      <c r="B10" s="301"/>
      <c r="C10" s="30" t="s">
        <v>1</v>
      </c>
      <c r="D10" s="1" t="s">
        <v>166</v>
      </c>
      <c r="E10" s="1"/>
      <c r="F10" s="1"/>
      <c r="G10" s="1"/>
      <c r="H10" s="1"/>
    </row>
    <row r="11" spans="1:8" ht="18" customHeight="1" x14ac:dyDescent="0.25">
      <c r="A11" s="301" t="s">
        <v>22</v>
      </c>
      <c r="B11" s="301"/>
      <c r="C11" s="30" t="s">
        <v>1</v>
      </c>
      <c r="D11" s="314">
        <v>44636</v>
      </c>
      <c r="E11" s="314"/>
      <c r="F11" s="1"/>
      <c r="G11" s="1"/>
      <c r="H11" s="1"/>
    </row>
    <row r="12" spans="1:8" ht="18" customHeight="1" x14ac:dyDescent="0.25">
      <c r="A12" s="301" t="s">
        <v>23</v>
      </c>
      <c r="B12" s="301"/>
      <c r="C12" s="30" t="s">
        <v>1</v>
      </c>
      <c r="D12" s="100" t="s">
        <v>88</v>
      </c>
      <c r="E12" s="98"/>
      <c r="F12" s="1"/>
      <c r="G12" s="1"/>
      <c r="H12" s="1"/>
    </row>
    <row r="13" spans="1:8" ht="18" customHeight="1" x14ac:dyDescent="0.25">
      <c r="A13" s="301" t="s">
        <v>24</v>
      </c>
      <c r="B13" s="301"/>
      <c r="C13" s="30" t="s">
        <v>1</v>
      </c>
      <c r="D13" s="302" t="s">
        <v>26</v>
      </c>
      <c r="E13" s="302"/>
      <c r="F13" s="1"/>
      <c r="G13" s="1"/>
      <c r="H13" s="1"/>
    </row>
    <row r="14" spans="1:8" ht="18" customHeight="1" x14ac:dyDescent="0.25">
      <c r="A14" s="301" t="s">
        <v>25</v>
      </c>
      <c r="B14" s="301"/>
      <c r="C14" s="30" t="s">
        <v>1</v>
      </c>
      <c r="D14" s="101" t="s">
        <v>34</v>
      </c>
      <c r="E14" s="101"/>
      <c r="F14" s="1"/>
      <c r="G14" s="1"/>
      <c r="H14" s="1"/>
    </row>
    <row r="15" spans="1:8" ht="18" customHeight="1" x14ac:dyDescent="0.25">
      <c r="A15" s="19"/>
      <c r="B15" s="19"/>
      <c r="C15" s="20"/>
      <c r="E15" s="4"/>
      <c r="F15" s="1"/>
      <c r="G15" s="1"/>
      <c r="H15" s="1"/>
    </row>
    <row r="16" spans="1:8" ht="18" customHeight="1" x14ac:dyDescent="0.25">
      <c r="A16" s="303" t="s">
        <v>35</v>
      </c>
      <c r="B16" s="304"/>
      <c r="C16" s="304"/>
      <c r="D16" s="304"/>
      <c r="E16" s="304"/>
      <c r="F16" s="304"/>
      <c r="G16" s="304"/>
      <c r="H16" s="305"/>
    </row>
    <row r="17" spans="1:8" ht="18" customHeight="1" x14ac:dyDescent="0.25">
      <c r="A17" s="294" t="s">
        <v>45</v>
      </c>
      <c r="B17" s="295"/>
      <c r="C17" s="296" t="s">
        <v>82</v>
      </c>
      <c r="D17" s="297"/>
      <c r="E17" s="298"/>
      <c r="F17" s="299"/>
      <c r="G17" s="300"/>
      <c r="H17" s="21"/>
    </row>
    <row r="18" spans="1:8" ht="18" customHeight="1" x14ac:dyDescent="0.25">
      <c r="A18" s="315" t="s">
        <v>29</v>
      </c>
      <c r="B18" s="316"/>
      <c r="C18" s="317">
        <v>168867</v>
      </c>
      <c r="D18" s="241"/>
      <c r="E18" s="318"/>
      <c r="F18" s="319" t="s">
        <v>36</v>
      </c>
      <c r="G18" s="316"/>
      <c r="H18" s="102" t="s">
        <v>37</v>
      </c>
    </row>
    <row r="19" spans="1:8" ht="18" customHeight="1" x14ac:dyDescent="0.25">
      <c r="A19" s="315" t="s">
        <v>38</v>
      </c>
      <c r="B19" s="316"/>
      <c r="C19" s="315" t="s">
        <v>156</v>
      </c>
      <c r="D19" s="491"/>
      <c r="E19" s="492"/>
      <c r="F19" s="319" t="s">
        <v>39</v>
      </c>
      <c r="G19" s="316"/>
      <c r="H19" s="490" t="s">
        <v>157</v>
      </c>
    </row>
    <row r="20" spans="1:8" ht="18" customHeight="1" x14ac:dyDescent="0.25">
      <c r="A20" s="315" t="s">
        <v>40</v>
      </c>
      <c r="B20" s="316"/>
      <c r="C20" s="315" t="s">
        <v>158</v>
      </c>
      <c r="D20" s="491"/>
      <c r="E20" s="492"/>
      <c r="F20" s="319" t="s">
        <v>41</v>
      </c>
      <c r="G20" s="316"/>
      <c r="H20" s="102" t="s">
        <v>159</v>
      </c>
    </row>
    <row r="21" spans="1:8" ht="18" customHeight="1" x14ac:dyDescent="0.25">
      <c r="A21" s="308" t="s">
        <v>42</v>
      </c>
      <c r="B21" s="309"/>
      <c r="C21" s="310" t="s">
        <v>81</v>
      </c>
      <c r="D21" s="311"/>
      <c r="E21" s="312"/>
      <c r="F21" s="22" t="s">
        <v>43</v>
      </c>
      <c r="G21" s="23"/>
      <c r="H21" s="493">
        <v>46164</v>
      </c>
    </row>
    <row r="22" spans="1:8" ht="18" customHeight="1" x14ac:dyDescent="0.25">
      <c r="A22" s="33"/>
      <c r="B22" s="34"/>
      <c r="C22" s="2"/>
      <c r="D22" s="34"/>
      <c r="E22" s="34"/>
      <c r="F22" s="24"/>
      <c r="H22" s="18"/>
    </row>
    <row r="23" spans="1:8" ht="18" customHeight="1" x14ac:dyDescent="0.25">
      <c r="A23" s="323" t="s">
        <v>29</v>
      </c>
      <c r="B23" s="323" t="s">
        <v>49</v>
      </c>
      <c r="C23" s="323" t="s">
        <v>48</v>
      </c>
      <c r="D23" s="323"/>
      <c r="E23" s="323" t="s">
        <v>76</v>
      </c>
      <c r="F23" s="323"/>
      <c r="G23" s="331" t="s">
        <v>12</v>
      </c>
      <c r="H23" s="331"/>
    </row>
    <row r="24" spans="1:8" ht="18" customHeight="1" x14ac:dyDescent="0.25">
      <c r="A24" s="323"/>
      <c r="B24" s="323"/>
      <c r="C24" s="323"/>
      <c r="D24" s="323"/>
      <c r="E24" s="35" t="s">
        <v>46</v>
      </c>
      <c r="F24" s="35" t="s">
        <v>47</v>
      </c>
      <c r="G24" s="331"/>
      <c r="H24" s="331"/>
    </row>
    <row r="25" spans="1:8" ht="18" customHeight="1" x14ac:dyDescent="0.25">
      <c r="A25" s="332">
        <v>1</v>
      </c>
      <c r="B25" s="333" t="s">
        <v>34</v>
      </c>
      <c r="C25" s="334" t="s">
        <v>52</v>
      </c>
      <c r="D25" s="334"/>
      <c r="E25" s="36"/>
      <c r="F25" s="36"/>
      <c r="G25" s="333" t="s">
        <v>75</v>
      </c>
      <c r="H25" s="333"/>
    </row>
    <row r="26" spans="1:8" ht="18" customHeight="1" x14ac:dyDescent="0.25">
      <c r="A26" s="332"/>
      <c r="B26" s="333"/>
      <c r="C26" s="334" t="s">
        <v>53</v>
      </c>
      <c r="D26" s="334"/>
      <c r="E26" s="36"/>
      <c r="F26" s="36"/>
      <c r="G26" s="333"/>
      <c r="H26" s="333"/>
    </row>
    <row r="27" spans="1:8" ht="18" customHeight="1" x14ac:dyDescent="0.25">
      <c r="A27" s="332"/>
      <c r="B27" s="333"/>
      <c r="C27" s="334" t="s">
        <v>54</v>
      </c>
      <c r="D27" s="334"/>
      <c r="E27" s="36"/>
      <c r="F27" s="36"/>
      <c r="G27" s="333"/>
      <c r="H27" s="333"/>
    </row>
    <row r="28" spans="1:8" ht="18" customHeight="1" x14ac:dyDescent="0.25">
      <c r="A28" s="332"/>
      <c r="B28" s="333"/>
      <c r="C28" s="334" t="s">
        <v>55</v>
      </c>
      <c r="D28" s="334"/>
      <c r="E28" s="36"/>
      <c r="F28" s="36"/>
      <c r="G28" s="333"/>
      <c r="H28" s="333"/>
    </row>
    <row r="29" spans="1:8" ht="18" customHeight="1" x14ac:dyDescent="0.25">
      <c r="A29" s="332"/>
      <c r="B29" s="333"/>
      <c r="C29" s="334" t="s">
        <v>56</v>
      </c>
      <c r="D29" s="334"/>
      <c r="E29" s="36"/>
      <c r="F29" s="36"/>
      <c r="G29" s="333"/>
      <c r="H29" s="333"/>
    </row>
    <row r="30" spans="1:8" ht="18" customHeight="1" x14ac:dyDescent="0.25">
      <c r="A30" s="29"/>
      <c r="B30" s="28"/>
      <c r="C30" s="306"/>
      <c r="D30" s="306"/>
      <c r="E30" s="32"/>
      <c r="F30" s="32"/>
      <c r="G30" s="32"/>
      <c r="H30" s="37"/>
    </row>
    <row r="31" spans="1:8" ht="18" customHeight="1" x14ac:dyDescent="0.25">
      <c r="A31" s="29"/>
      <c r="B31" s="28"/>
      <c r="C31" s="79"/>
      <c r="D31" s="79"/>
      <c r="E31" s="79"/>
      <c r="F31" s="79"/>
      <c r="G31" s="79"/>
      <c r="H31" s="80"/>
    </row>
    <row r="32" spans="1:8" ht="18" customHeight="1" x14ac:dyDescent="0.25">
      <c r="A32" s="320" t="s">
        <v>162</v>
      </c>
      <c r="B32" s="321"/>
      <c r="C32" s="321"/>
      <c r="D32" s="321"/>
      <c r="E32" s="321"/>
      <c r="F32" s="321"/>
      <c r="G32" s="321"/>
      <c r="H32" s="322"/>
    </row>
    <row r="33" spans="1:8" ht="18" customHeight="1" x14ac:dyDescent="0.25">
      <c r="A33" s="25"/>
      <c r="B33" s="26"/>
      <c r="C33" s="27"/>
      <c r="D33" s="32"/>
      <c r="E33" s="32"/>
      <c r="F33" s="32"/>
      <c r="G33" s="32"/>
      <c r="H33" s="37"/>
    </row>
    <row r="34" spans="1:8" ht="18" customHeight="1" x14ac:dyDescent="0.25">
      <c r="A34" s="307" t="s">
        <v>161</v>
      </c>
      <c r="B34" s="307"/>
      <c r="C34" s="307"/>
      <c r="D34" s="307"/>
      <c r="E34" s="307"/>
      <c r="F34" s="307"/>
      <c r="G34" s="307"/>
      <c r="H34" s="307"/>
    </row>
    <row r="35" spans="1:8" ht="18" customHeight="1" x14ac:dyDescent="0.25">
      <c r="A35" s="324" t="s">
        <v>74</v>
      </c>
      <c r="B35" s="325"/>
      <c r="C35" s="325"/>
      <c r="D35" s="325"/>
      <c r="E35" s="325"/>
      <c r="F35" s="325"/>
      <c r="G35" s="325"/>
      <c r="H35" s="326"/>
    </row>
    <row r="36" spans="1:8" ht="18" customHeight="1" x14ac:dyDescent="0.25">
      <c r="A36" s="67" t="s">
        <v>44</v>
      </c>
      <c r="B36" s="327" t="s">
        <v>50</v>
      </c>
      <c r="C36" s="327"/>
      <c r="D36" s="328" t="s">
        <v>46</v>
      </c>
      <c r="E36" s="329"/>
      <c r="F36" s="328" t="s">
        <v>47</v>
      </c>
      <c r="G36" s="330"/>
      <c r="H36" s="329"/>
    </row>
    <row r="37" spans="1:8" ht="18" customHeight="1" x14ac:dyDescent="0.25">
      <c r="A37" s="335">
        <v>1</v>
      </c>
      <c r="B37" s="336" t="s">
        <v>51</v>
      </c>
      <c r="C37" s="336"/>
      <c r="D37" s="337">
        <v>3520000</v>
      </c>
      <c r="E37" s="338"/>
      <c r="F37" s="341">
        <v>29300</v>
      </c>
      <c r="G37" s="342"/>
      <c r="H37" s="343"/>
    </row>
    <row r="38" spans="1:8" ht="18" customHeight="1" x14ac:dyDescent="0.25">
      <c r="A38" s="335"/>
      <c r="B38" s="336"/>
      <c r="C38" s="336"/>
      <c r="D38" s="339"/>
      <c r="E38" s="340"/>
      <c r="F38" s="344"/>
      <c r="G38" s="345"/>
      <c r="H38" s="346"/>
    </row>
    <row r="39" spans="1:8" ht="18" customHeight="1" x14ac:dyDescent="0.25">
      <c r="A39" s="15"/>
      <c r="B39" s="16"/>
      <c r="C39" s="16"/>
      <c r="D39" s="16"/>
      <c r="E39" s="16"/>
      <c r="F39" s="16"/>
      <c r="G39" s="16"/>
      <c r="H39" s="17"/>
    </row>
    <row r="40" spans="1:8" ht="18" customHeight="1" x14ac:dyDescent="0.25">
      <c r="A40" s="347"/>
      <c r="B40" s="348"/>
      <c r="C40" s="348"/>
      <c r="D40" s="348"/>
      <c r="E40" s="348"/>
      <c r="F40" s="348"/>
      <c r="G40" s="348"/>
      <c r="H40" s="349"/>
    </row>
    <row r="41" spans="1:8" ht="18" customHeight="1" x14ac:dyDescent="0.25">
      <c r="A41" s="350" t="s">
        <v>5</v>
      </c>
      <c r="B41" s="351"/>
      <c r="C41" s="352"/>
      <c r="D41" s="354" t="s">
        <v>6</v>
      </c>
      <c r="E41" s="355"/>
      <c r="F41" s="356"/>
      <c r="G41" s="350" t="s">
        <v>28</v>
      </c>
      <c r="H41" s="352"/>
    </row>
    <row r="42" spans="1:8" ht="18" customHeight="1" x14ac:dyDescent="0.25">
      <c r="A42" s="5"/>
      <c r="B42" s="13"/>
      <c r="C42" s="13"/>
      <c r="D42" s="7"/>
      <c r="E42" s="8"/>
      <c r="F42" s="6"/>
      <c r="G42" s="1"/>
      <c r="H42" s="10"/>
    </row>
    <row r="43" spans="1:8" ht="18" customHeight="1" x14ac:dyDescent="0.25">
      <c r="A43" s="9"/>
      <c r="B43" s="1"/>
      <c r="C43" s="1"/>
      <c r="D43" s="11"/>
      <c r="E43" s="12"/>
      <c r="F43" s="10"/>
      <c r="G43" s="1"/>
      <c r="H43" s="10"/>
    </row>
    <row r="44" spans="1:8" ht="18" customHeight="1" x14ac:dyDescent="0.25">
      <c r="A44" s="9"/>
      <c r="B44" s="1"/>
      <c r="C44" s="1"/>
      <c r="D44" s="11"/>
      <c r="E44" s="12"/>
      <c r="F44" s="10"/>
      <c r="G44" s="1"/>
      <c r="H44" s="10"/>
    </row>
    <row r="45" spans="1:8" ht="18" customHeight="1" x14ac:dyDescent="0.25">
      <c r="A45" s="9"/>
      <c r="B45" s="1"/>
      <c r="C45" s="1"/>
      <c r="D45" s="11"/>
      <c r="E45" s="12"/>
      <c r="F45" s="10"/>
      <c r="G45" s="1"/>
      <c r="H45" s="10"/>
    </row>
    <row r="46" spans="1:8" ht="18" customHeight="1" x14ac:dyDescent="0.25">
      <c r="A46" s="9"/>
      <c r="B46" s="1"/>
      <c r="C46" s="1"/>
      <c r="D46" s="11"/>
      <c r="E46" s="12"/>
      <c r="F46" s="14"/>
      <c r="G46" s="12"/>
      <c r="H46" s="10"/>
    </row>
    <row r="47" spans="1:8" ht="18" customHeight="1" x14ac:dyDescent="0.25">
      <c r="A47" s="357"/>
      <c r="B47" s="358"/>
      <c r="C47" s="359"/>
      <c r="D47" s="357"/>
      <c r="E47" s="358"/>
      <c r="F47" s="359"/>
      <c r="G47" s="357"/>
      <c r="H47" s="359"/>
    </row>
    <row r="48" spans="1:8" ht="18" customHeight="1" x14ac:dyDescent="0.25">
      <c r="A48" s="350" t="s">
        <v>10</v>
      </c>
      <c r="B48" s="351"/>
      <c r="C48" s="352"/>
      <c r="D48" s="494" t="s">
        <v>11</v>
      </c>
      <c r="E48" s="353"/>
      <c r="F48" s="353"/>
      <c r="G48" s="351"/>
      <c r="H48" s="352"/>
    </row>
    <row r="49" ht="18" customHeight="1" x14ac:dyDescent="0.25"/>
    <row r="50" ht="18" customHeight="1" x14ac:dyDescent="0.25"/>
  </sheetData>
  <mergeCells count="60">
    <mergeCell ref="A48:C48"/>
    <mergeCell ref="D48:H48"/>
    <mergeCell ref="A41:C41"/>
    <mergeCell ref="D41:F41"/>
    <mergeCell ref="G41:H41"/>
    <mergeCell ref="A47:C47"/>
    <mergeCell ref="D47:F47"/>
    <mergeCell ref="G47:H47"/>
    <mergeCell ref="A37:A38"/>
    <mergeCell ref="B37:C38"/>
    <mergeCell ref="D37:E38"/>
    <mergeCell ref="F37:H38"/>
    <mergeCell ref="A40:H40"/>
    <mergeCell ref="B36:C36"/>
    <mergeCell ref="D36:E36"/>
    <mergeCell ref="F36:H36"/>
    <mergeCell ref="G23:H24"/>
    <mergeCell ref="A25:A29"/>
    <mergeCell ref="B25:B29"/>
    <mergeCell ref="C25:D25"/>
    <mergeCell ref="G25:H29"/>
    <mergeCell ref="C26:D26"/>
    <mergeCell ref="C27:D27"/>
    <mergeCell ref="C28:D28"/>
    <mergeCell ref="C29:D29"/>
    <mergeCell ref="A23:A24"/>
    <mergeCell ref="B23:B24"/>
    <mergeCell ref="C23:D24"/>
    <mergeCell ref="F20:G20"/>
    <mergeCell ref="A18:B18"/>
    <mergeCell ref="C18:E18"/>
    <mergeCell ref="F18:G18"/>
    <mergeCell ref="A35:H35"/>
    <mergeCell ref="C30:D30"/>
    <mergeCell ref="A34:H34"/>
    <mergeCell ref="A21:B21"/>
    <mergeCell ref="C21:E21"/>
    <mergeCell ref="A8:B8"/>
    <mergeCell ref="A9:B9"/>
    <mergeCell ref="A10:B10"/>
    <mergeCell ref="A11:B11"/>
    <mergeCell ref="D11:E11"/>
    <mergeCell ref="A19:B19"/>
    <mergeCell ref="C19:E19"/>
    <mergeCell ref="F19:G19"/>
    <mergeCell ref="A32:H32"/>
    <mergeCell ref="E23:F23"/>
    <mergeCell ref="A20:B20"/>
    <mergeCell ref="C20:E20"/>
    <mergeCell ref="A3:H3"/>
    <mergeCell ref="A5:B5"/>
    <mergeCell ref="A6:C7"/>
    <mergeCell ref="A17:B17"/>
    <mergeCell ref="C17:E17"/>
    <mergeCell ref="F17:G17"/>
    <mergeCell ref="A12:B12"/>
    <mergeCell ref="A13:B13"/>
    <mergeCell ref="D13:E13"/>
    <mergeCell ref="A14:B14"/>
    <mergeCell ref="A16:H16"/>
  </mergeCells>
  <printOptions horizontalCentered="1"/>
  <pageMargins left="0" right="0" top="0.24181547619047619" bottom="0.39370078740157483" header="0" footer="0"/>
  <pageSetup paperSize="9" scale="8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topLeftCell="A34" zoomScaleNormal="100" workbookViewId="0">
      <selection activeCell="D10" sqref="D10"/>
    </sheetView>
  </sheetViews>
  <sheetFormatPr defaultRowHeight="15" x14ac:dyDescent="0.25"/>
  <cols>
    <col min="2" max="2" width="12.28515625" customWidth="1"/>
    <col min="3" max="3" width="12.140625" customWidth="1"/>
    <col min="4" max="4" width="11.85546875" customWidth="1"/>
    <col min="5" max="5" width="11.28515625" customWidth="1"/>
    <col min="6" max="7" width="10.42578125" customWidth="1"/>
    <col min="9" max="9" width="4.42578125" customWidth="1"/>
    <col min="10" max="10" width="6.28515625" customWidth="1"/>
  </cols>
  <sheetData>
    <row r="1" spans="1:10" s="45" customFormat="1" ht="15" customHeight="1" x14ac:dyDescent="0.25"/>
    <row r="2" spans="1:10" s="45" customFormat="1" ht="15" customHeight="1" x14ac:dyDescent="0.25"/>
    <row r="3" spans="1:10" s="45" customFormat="1" ht="17.100000000000001" customHeight="1" x14ac:dyDescent="0.25">
      <c r="A3" s="403" t="s">
        <v>90</v>
      </c>
      <c r="B3" s="403"/>
      <c r="C3" s="403"/>
      <c r="D3" s="403"/>
      <c r="E3" s="403"/>
      <c r="F3" s="403"/>
      <c r="G3" s="403"/>
      <c r="H3" s="403"/>
      <c r="I3" s="403"/>
      <c r="J3" s="403"/>
    </row>
    <row r="4" spans="1:10" s="45" customFormat="1" ht="17.100000000000001" customHeight="1" x14ac:dyDescent="0.25">
      <c r="A4" s="109"/>
      <c r="B4" s="109"/>
      <c r="C4" s="109"/>
      <c r="D4" s="109"/>
      <c r="E4" s="109"/>
      <c r="F4" s="109"/>
      <c r="G4" s="109"/>
      <c r="H4" s="109"/>
      <c r="I4" s="109"/>
      <c r="J4" s="109"/>
    </row>
    <row r="5" spans="1:10" s="45" customFormat="1" ht="17.100000000000001" customHeight="1" x14ac:dyDescent="0.25">
      <c r="A5" s="110" t="s">
        <v>91</v>
      </c>
      <c r="B5" s="111"/>
      <c r="C5" s="155" t="s">
        <v>1</v>
      </c>
      <c r="D5" s="111" t="s">
        <v>2</v>
      </c>
      <c r="E5" s="111"/>
      <c r="F5" s="111"/>
      <c r="G5" s="111"/>
      <c r="H5" s="110"/>
      <c r="I5" s="112"/>
      <c r="J5" s="112"/>
    </row>
    <row r="6" spans="1:10" s="45" customFormat="1" ht="17.100000000000001" customHeight="1" x14ac:dyDescent="0.25">
      <c r="A6" s="110"/>
      <c r="B6" s="111"/>
      <c r="C6" s="1"/>
      <c r="D6" s="113" t="s">
        <v>3</v>
      </c>
      <c r="E6" s="113"/>
      <c r="F6" s="111"/>
      <c r="G6" s="111"/>
      <c r="H6" s="110"/>
      <c r="I6" s="112"/>
      <c r="J6" s="112"/>
    </row>
    <row r="7" spans="1:10" s="45" customFormat="1" ht="17.100000000000001" customHeight="1" x14ac:dyDescent="0.25">
      <c r="A7" s="110"/>
      <c r="B7" s="111"/>
      <c r="C7" s="114"/>
      <c r="D7" s="111" t="s">
        <v>4</v>
      </c>
      <c r="E7" s="111"/>
      <c r="F7" s="111"/>
      <c r="G7" s="111"/>
      <c r="H7" s="110"/>
      <c r="I7" s="112"/>
      <c r="J7" s="112"/>
    </row>
    <row r="8" spans="1:10" s="45" customFormat="1" ht="17.100000000000001" customHeight="1" x14ac:dyDescent="0.25">
      <c r="A8" s="110" t="s">
        <v>5</v>
      </c>
      <c r="B8" s="110"/>
      <c r="C8" s="115" t="s">
        <v>1</v>
      </c>
      <c r="D8" s="168" t="s">
        <v>92</v>
      </c>
      <c r="E8" s="111"/>
      <c r="F8" s="111"/>
      <c r="G8" s="110"/>
      <c r="H8" s="110"/>
      <c r="I8" s="110"/>
      <c r="J8" s="112"/>
    </row>
    <row r="9" spans="1:10" s="45" customFormat="1" ht="17.100000000000001" customHeight="1" x14ac:dyDescent="0.25">
      <c r="A9" s="110" t="s">
        <v>6</v>
      </c>
      <c r="B9" s="110"/>
      <c r="C9" s="115" t="s">
        <v>1</v>
      </c>
      <c r="D9" s="116" t="s">
        <v>93</v>
      </c>
      <c r="E9" s="116"/>
      <c r="F9" s="111"/>
      <c r="G9" s="110"/>
      <c r="H9" s="110"/>
      <c r="I9" s="110"/>
      <c r="J9" s="112"/>
    </row>
    <row r="10" spans="1:10" s="45" customFormat="1" ht="17.100000000000001" customHeight="1" x14ac:dyDescent="0.25">
      <c r="A10" s="110" t="s">
        <v>94</v>
      </c>
      <c r="B10" s="110"/>
      <c r="C10" s="115" t="s">
        <v>1</v>
      </c>
      <c r="D10" s="117" t="s">
        <v>90</v>
      </c>
      <c r="E10" s="117"/>
      <c r="F10" s="112"/>
      <c r="G10" s="118"/>
      <c r="H10" s="118"/>
      <c r="I10" s="118"/>
      <c r="J10" s="110"/>
    </row>
    <row r="11" spans="1:10" s="45" customFormat="1" ht="17.100000000000001" customHeight="1" x14ac:dyDescent="0.25">
      <c r="A11" s="110" t="s">
        <v>95</v>
      </c>
      <c r="B11" s="110"/>
      <c r="C11" s="115" t="s">
        <v>1</v>
      </c>
      <c r="D11" s="404" t="s">
        <v>96</v>
      </c>
      <c r="E11" s="404"/>
      <c r="F11" s="404"/>
      <c r="G11" s="118"/>
      <c r="H11" s="118"/>
      <c r="I11" s="118"/>
      <c r="J11" s="110"/>
    </row>
    <row r="12" spans="1:10" s="45" customFormat="1" ht="17.100000000000001" customHeight="1" x14ac:dyDescent="0.25">
      <c r="A12" s="118" t="s">
        <v>97</v>
      </c>
      <c r="C12" s="119" t="s">
        <v>1</v>
      </c>
      <c r="D12" s="98" t="s">
        <v>98</v>
      </c>
      <c r="E12" s="1"/>
      <c r="G12" s="118"/>
      <c r="H12" s="118"/>
      <c r="I12" s="118"/>
      <c r="J12" s="110"/>
    </row>
    <row r="13" spans="1:10" s="120" customFormat="1" ht="17.100000000000001" customHeight="1" x14ac:dyDescent="0.25">
      <c r="A13" s="405" t="s">
        <v>35</v>
      </c>
      <c r="B13" s="406"/>
      <c r="C13" s="406"/>
      <c r="D13" s="406"/>
      <c r="E13" s="406"/>
      <c r="F13" s="406"/>
      <c r="G13" s="406"/>
      <c r="H13" s="406"/>
      <c r="I13" s="406"/>
      <c r="J13" s="407"/>
    </row>
    <row r="14" spans="1:10" s="120" customFormat="1" ht="17.100000000000001" customHeight="1" x14ac:dyDescent="0.25">
      <c r="A14" s="121" t="s">
        <v>99</v>
      </c>
      <c r="B14" s="122"/>
      <c r="C14" s="156" t="s">
        <v>100</v>
      </c>
      <c r="D14" s="157"/>
      <c r="E14" s="157"/>
      <c r="F14" s="156"/>
      <c r="G14" s="157"/>
      <c r="H14" s="408"/>
      <c r="I14" s="408"/>
      <c r="J14" s="409"/>
    </row>
    <row r="15" spans="1:10" s="120" customFormat="1" ht="17.100000000000001" customHeight="1" x14ac:dyDescent="0.25">
      <c r="A15" s="123" t="s">
        <v>29</v>
      </c>
      <c r="B15" s="124"/>
      <c r="C15" s="165">
        <v>72573</v>
      </c>
      <c r="D15" s="158"/>
      <c r="E15" s="158"/>
      <c r="F15" s="367" t="s">
        <v>36</v>
      </c>
      <c r="G15" s="368"/>
      <c r="H15" s="371" t="s">
        <v>37</v>
      </c>
      <c r="I15" s="371"/>
      <c r="J15" s="372"/>
    </row>
    <row r="16" spans="1:10" s="120" customFormat="1" ht="17.100000000000001" customHeight="1" x14ac:dyDescent="0.25">
      <c r="A16" s="123" t="s">
        <v>38</v>
      </c>
      <c r="B16" s="124"/>
      <c r="C16" s="166" t="s">
        <v>101</v>
      </c>
      <c r="D16" s="158"/>
      <c r="E16" s="158"/>
      <c r="F16" s="367" t="s">
        <v>39</v>
      </c>
      <c r="G16" s="368"/>
      <c r="H16" s="371" t="s">
        <v>102</v>
      </c>
      <c r="I16" s="371"/>
      <c r="J16" s="372"/>
    </row>
    <row r="17" spans="1:10" s="120" customFormat="1" ht="17.100000000000001" customHeight="1" x14ac:dyDescent="0.25">
      <c r="A17" s="123" t="s">
        <v>40</v>
      </c>
      <c r="B17" s="124"/>
      <c r="C17" s="166" t="s">
        <v>125</v>
      </c>
      <c r="D17" s="158"/>
      <c r="E17" s="158"/>
      <c r="F17" s="367" t="s">
        <v>41</v>
      </c>
      <c r="G17" s="368"/>
      <c r="H17" s="371" t="s">
        <v>103</v>
      </c>
      <c r="I17" s="371"/>
      <c r="J17" s="372"/>
    </row>
    <row r="18" spans="1:10" s="120" customFormat="1" ht="17.100000000000001" customHeight="1" x14ac:dyDescent="0.25">
      <c r="A18" s="125" t="s">
        <v>42</v>
      </c>
      <c r="B18" s="126"/>
      <c r="C18" s="167" t="s">
        <v>104</v>
      </c>
      <c r="D18" s="159"/>
      <c r="E18" s="159"/>
      <c r="F18" s="369" t="s">
        <v>43</v>
      </c>
      <c r="G18" s="370"/>
      <c r="H18" s="401" t="s">
        <v>105</v>
      </c>
      <c r="I18" s="401"/>
      <c r="J18" s="402"/>
    </row>
    <row r="19" spans="1:10" s="45" customFormat="1" ht="17.100000000000001" customHeight="1" x14ac:dyDescent="0.25">
      <c r="A19" s="392" t="s">
        <v>64</v>
      </c>
      <c r="B19" s="393"/>
      <c r="C19" s="327" t="s">
        <v>106</v>
      </c>
      <c r="D19" s="397" t="s">
        <v>107</v>
      </c>
      <c r="E19" s="398"/>
      <c r="F19" s="327" t="s">
        <v>108</v>
      </c>
      <c r="G19" s="327"/>
      <c r="H19" s="327" t="s">
        <v>12</v>
      </c>
      <c r="I19" s="327"/>
      <c r="J19" s="327"/>
    </row>
    <row r="20" spans="1:10" s="45" customFormat="1" ht="17.100000000000001" customHeight="1" x14ac:dyDescent="0.25">
      <c r="A20" s="394"/>
      <c r="B20" s="395"/>
      <c r="C20" s="396"/>
      <c r="D20" s="89" t="s">
        <v>109</v>
      </c>
      <c r="E20" s="89" t="s">
        <v>110</v>
      </c>
      <c r="F20" s="89" t="s">
        <v>111</v>
      </c>
      <c r="G20" s="127" t="s">
        <v>112</v>
      </c>
      <c r="H20" s="327"/>
      <c r="I20" s="327"/>
      <c r="J20" s="327"/>
    </row>
    <row r="21" spans="1:10" s="45" customFormat="1" ht="17.100000000000001" customHeight="1" x14ac:dyDescent="0.25">
      <c r="A21" s="399" t="s">
        <v>113</v>
      </c>
      <c r="B21" s="399"/>
      <c r="C21" s="128" t="s">
        <v>114</v>
      </c>
      <c r="D21" s="162">
        <v>0.44413194444444443</v>
      </c>
      <c r="E21" s="162">
        <v>0.44482638888888887</v>
      </c>
      <c r="F21" s="160">
        <v>4343</v>
      </c>
      <c r="G21" s="160">
        <v>0</v>
      </c>
      <c r="H21" s="399" t="s">
        <v>115</v>
      </c>
      <c r="I21" s="399"/>
      <c r="J21" s="399"/>
    </row>
    <row r="22" spans="1:10" s="45" customFormat="1" ht="17.100000000000001" customHeight="1" x14ac:dyDescent="0.25">
      <c r="A22" s="399"/>
      <c r="B22" s="399"/>
      <c r="C22" s="128" t="s">
        <v>116</v>
      </c>
      <c r="D22" s="162">
        <v>0.44881944444444444</v>
      </c>
      <c r="E22" s="162">
        <v>0.44951388888888894</v>
      </c>
      <c r="F22" s="160">
        <v>515570</v>
      </c>
      <c r="G22" s="160">
        <v>16910</v>
      </c>
      <c r="H22" s="399"/>
      <c r="I22" s="399"/>
      <c r="J22" s="399"/>
    </row>
    <row r="23" spans="1:10" s="45" customFormat="1" ht="17.100000000000001" customHeight="1" x14ac:dyDescent="0.25">
      <c r="A23" s="399"/>
      <c r="B23" s="399"/>
      <c r="C23" s="400" t="s">
        <v>117</v>
      </c>
      <c r="D23" s="162">
        <v>0.44951388888888894</v>
      </c>
      <c r="E23" s="162">
        <v>0.45020833333333332</v>
      </c>
      <c r="F23" s="160">
        <v>377947</v>
      </c>
      <c r="G23" s="160">
        <v>3567</v>
      </c>
      <c r="H23" s="399"/>
      <c r="I23" s="399"/>
      <c r="J23" s="399"/>
    </row>
    <row r="24" spans="1:10" s="45" customFormat="1" ht="17.100000000000001" customHeight="1" x14ac:dyDescent="0.25">
      <c r="A24" s="399"/>
      <c r="B24" s="399"/>
      <c r="C24" s="400"/>
      <c r="D24" s="162">
        <v>0.45020833333333332</v>
      </c>
      <c r="E24" s="162">
        <v>0.45090277777777782</v>
      </c>
      <c r="F24" s="160">
        <v>161210</v>
      </c>
      <c r="G24" s="160">
        <v>1166</v>
      </c>
      <c r="H24" s="399"/>
      <c r="I24" s="399"/>
      <c r="J24" s="399"/>
    </row>
    <row r="25" spans="1:10" s="45" customFormat="1" ht="17.100000000000001" customHeight="1" x14ac:dyDescent="0.25">
      <c r="A25" s="399"/>
      <c r="B25" s="399"/>
      <c r="C25" s="400"/>
      <c r="D25" s="162">
        <v>0.45090277777777782</v>
      </c>
      <c r="E25" s="162">
        <v>0.45159722222222221</v>
      </c>
      <c r="F25" s="160">
        <v>53267</v>
      </c>
      <c r="G25" s="160">
        <v>212</v>
      </c>
      <c r="H25" s="399"/>
      <c r="I25" s="399"/>
      <c r="J25" s="399"/>
    </row>
    <row r="26" spans="1:10" s="45" customFormat="1" ht="17.100000000000001" customHeight="1" x14ac:dyDescent="0.25">
      <c r="A26" s="399"/>
      <c r="B26" s="399"/>
      <c r="C26" s="400"/>
      <c r="D26" s="162">
        <v>0.45159722222222221</v>
      </c>
      <c r="E26" s="162">
        <v>0.4522916666666667</v>
      </c>
      <c r="F26" s="160">
        <v>6111</v>
      </c>
      <c r="G26" s="160">
        <v>71</v>
      </c>
      <c r="H26" s="399"/>
      <c r="I26" s="399"/>
      <c r="J26" s="399"/>
    </row>
    <row r="27" spans="1:10" s="45" customFormat="1" ht="17.100000000000001" customHeight="1" x14ac:dyDescent="0.25">
      <c r="A27" s="399"/>
      <c r="B27" s="399"/>
      <c r="C27" s="400"/>
      <c r="D27" s="162">
        <v>0.4522916666666667</v>
      </c>
      <c r="E27" s="162">
        <v>0.45298611111111109</v>
      </c>
      <c r="F27" s="161">
        <v>2508</v>
      </c>
      <c r="G27" s="161">
        <v>0</v>
      </c>
      <c r="H27" s="399"/>
      <c r="I27" s="399"/>
      <c r="J27" s="399"/>
    </row>
    <row r="28" spans="1:10" s="45" customFormat="1" ht="17.100000000000001" customHeight="1" x14ac:dyDescent="0.25">
      <c r="A28" s="129"/>
      <c r="B28" s="130"/>
      <c r="C28" s="130"/>
      <c r="D28" s="131"/>
      <c r="E28" s="131"/>
      <c r="F28" s="131"/>
      <c r="G28" s="131"/>
      <c r="H28" s="130"/>
      <c r="I28" s="130"/>
      <c r="J28" s="132"/>
    </row>
    <row r="29" spans="1:10" s="45" customFormat="1" ht="17.100000000000001" customHeight="1" x14ac:dyDescent="0.25">
      <c r="A29" s="385" t="s">
        <v>118</v>
      </c>
      <c r="B29" s="386"/>
      <c r="C29" s="386"/>
      <c r="D29" s="386"/>
      <c r="E29" s="386"/>
      <c r="F29" s="386"/>
      <c r="G29" s="133"/>
      <c r="H29" s="163">
        <f>D23</f>
        <v>0.44951388888888894</v>
      </c>
      <c r="I29" s="495" t="s">
        <v>163</v>
      </c>
      <c r="J29" s="496"/>
    </row>
    <row r="30" spans="1:10" s="45" customFormat="1" ht="17.100000000000001" customHeight="1" x14ac:dyDescent="0.25">
      <c r="A30" s="387" t="s">
        <v>119</v>
      </c>
      <c r="B30" s="388"/>
      <c r="C30" s="388"/>
      <c r="D30" s="388"/>
      <c r="E30" s="388"/>
      <c r="F30" s="388"/>
      <c r="G30" s="133"/>
      <c r="H30" s="163">
        <v>0.45159722222222221</v>
      </c>
      <c r="I30" s="495" t="s">
        <v>163</v>
      </c>
      <c r="J30" s="496"/>
    </row>
    <row r="31" spans="1:10" s="45" customFormat="1" ht="17.100000000000001" customHeight="1" x14ac:dyDescent="0.25">
      <c r="A31" s="135"/>
      <c r="B31" s="136"/>
      <c r="C31" s="386" t="s">
        <v>120</v>
      </c>
      <c r="D31" s="386"/>
      <c r="E31" s="386"/>
      <c r="F31" s="386"/>
      <c r="G31" s="133"/>
      <c r="H31" s="164">
        <f>H30-H29</f>
        <v>2.0833333333332704E-3</v>
      </c>
      <c r="I31" s="495" t="s">
        <v>164</v>
      </c>
      <c r="J31" s="496"/>
    </row>
    <row r="32" spans="1:10" s="45" customFormat="1" ht="17.100000000000001" customHeight="1" x14ac:dyDescent="0.25">
      <c r="A32" s="135"/>
      <c r="B32" s="136"/>
      <c r="C32" s="137"/>
      <c r="D32" s="137"/>
      <c r="E32" s="137"/>
      <c r="F32" s="137"/>
      <c r="G32" s="133"/>
      <c r="H32" s="138"/>
      <c r="I32" s="133"/>
      <c r="J32" s="134"/>
    </row>
    <row r="33" spans="1:10" s="45" customFormat="1" ht="17.100000000000001" customHeight="1" x14ac:dyDescent="0.25">
      <c r="A33" s="135"/>
      <c r="B33" s="136"/>
      <c r="C33" s="137"/>
      <c r="D33" s="137"/>
      <c r="E33" s="137"/>
      <c r="F33" s="137"/>
      <c r="G33" s="133"/>
      <c r="H33" s="138"/>
      <c r="I33" s="133"/>
      <c r="J33" s="134"/>
    </row>
    <row r="34" spans="1:10" s="45" customFormat="1" ht="17.100000000000001" customHeight="1" x14ac:dyDescent="0.25">
      <c r="A34" s="500" t="s">
        <v>160</v>
      </c>
      <c r="B34" s="501"/>
      <c r="C34" s="501"/>
      <c r="D34" s="501"/>
      <c r="E34" s="501"/>
      <c r="F34" s="501"/>
      <c r="G34" s="501"/>
      <c r="H34" s="501"/>
      <c r="I34" s="501"/>
      <c r="J34" s="502"/>
    </row>
    <row r="35" spans="1:10" s="45" customFormat="1" ht="17.100000000000001" customHeight="1" x14ac:dyDescent="0.25">
      <c r="A35" s="497" t="s">
        <v>165</v>
      </c>
      <c r="B35" s="498"/>
      <c r="C35" s="498"/>
      <c r="D35" s="498"/>
      <c r="E35" s="498"/>
      <c r="F35" s="498"/>
      <c r="G35" s="498"/>
      <c r="H35" s="498"/>
      <c r="I35" s="498"/>
      <c r="J35" s="499"/>
    </row>
    <row r="36" spans="1:10" s="45" customFormat="1" ht="17.100000000000001" customHeight="1" x14ac:dyDescent="0.25">
      <c r="A36" s="389" t="s">
        <v>121</v>
      </c>
      <c r="B36" s="390"/>
      <c r="C36" s="390"/>
      <c r="D36" s="390"/>
      <c r="E36" s="390"/>
      <c r="F36" s="390"/>
      <c r="G36" s="390"/>
      <c r="H36" s="390"/>
      <c r="I36" s="390"/>
      <c r="J36" s="391"/>
    </row>
    <row r="37" spans="1:10" s="45" customFormat="1" ht="17.100000000000001" customHeight="1" x14ac:dyDescent="0.25">
      <c r="A37" s="89" t="s">
        <v>44</v>
      </c>
      <c r="B37" s="327" t="s">
        <v>50</v>
      </c>
      <c r="C37" s="327"/>
      <c r="D37" s="328" t="s">
        <v>111</v>
      </c>
      <c r="E37" s="330"/>
      <c r="F37" s="330"/>
      <c r="G37" s="329"/>
      <c r="H37" s="328" t="s">
        <v>112</v>
      </c>
      <c r="I37" s="330"/>
      <c r="J37" s="329"/>
    </row>
    <row r="38" spans="1:10" s="45" customFormat="1" ht="17.100000000000001" customHeight="1" x14ac:dyDescent="0.25">
      <c r="A38" s="139">
        <v>1</v>
      </c>
      <c r="B38" s="373" t="s">
        <v>122</v>
      </c>
      <c r="C38" s="374"/>
      <c r="D38" s="375">
        <v>35200</v>
      </c>
      <c r="E38" s="376"/>
      <c r="F38" s="377"/>
      <c r="G38" s="338"/>
      <c r="H38" s="341">
        <v>293</v>
      </c>
      <c r="I38" s="342"/>
      <c r="J38" s="343"/>
    </row>
    <row r="39" spans="1:10" s="45" customFormat="1" ht="17.100000000000001" customHeight="1" x14ac:dyDescent="0.25">
      <c r="A39" s="378"/>
      <c r="B39" s="379"/>
      <c r="C39" s="379"/>
      <c r="D39" s="379"/>
      <c r="E39" s="379"/>
      <c r="F39" s="379"/>
      <c r="G39" s="379"/>
      <c r="H39" s="379"/>
      <c r="I39" s="379"/>
      <c r="J39" s="380"/>
    </row>
    <row r="40" spans="1:10" s="45" customFormat="1" ht="17.100000000000001" customHeight="1" x14ac:dyDescent="0.25">
      <c r="A40" s="381" t="s">
        <v>123</v>
      </c>
      <c r="B40" s="381"/>
      <c r="C40" s="381"/>
      <c r="D40" s="382" t="s">
        <v>6</v>
      </c>
      <c r="E40" s="383"/>
      <c r="F40" s="384"/>
      <c r="G40" s="360" t="s">
        <v>28</v>
      </c>
      <c r="H40" s="361"/>
      <c r="I40" s="361"/>
      <c r="J40" s="362"/>
    </row>
    <row r="41" spans="1:10" s="45" customFormat="1" ht="17.100000000000001" customHeight="1" x14ac:dyDescent="0.25">
      <c r="A41" s="140"/>
      <c r="B41" s="141"/>
      <c r="C41" s="142"/>
      <c r="D41" s="143"/>
      <c r="E41" s="144"/>
      <c r="F41" s="144"/>
      <c r="G41" s="143"/>
      <c r="H41" s="145"/>
      <c r="I41" s="145"/>
      <c r="J41" s="146"/>
    </row>
    <row r="42" spans="1:10" s="45" customFormat="1" ht="17.100000000000001" customHeight="1" x14ac:dyDescent="0.25">
      <c r="A42" s="147"/>
      <c r="B42" s="148"/>
      <c r="C42" s="149"/>
      <c r="D42" s="150"/>
      <c r="E42" s="151"/>
      <c r="F42" s="151"/>
      <c r="G42" s="150"/>
      <c r="H42" s="152"/>
      <c r="I42" s="152"/>
      <c r="J42" s="153"/>
    </row>
    <row r="43" spans="1:10" s="45" customFormat="1" ht="17.100000000000001" customHeight="1" x14ac:dyDescent="0.25">
      <c r="A43" s="147"/>
      <c r="B43" s="148"/>
      <c r="C43" s="149"/>
      <c r="D43" s="150"/>
      <c r="E43" s="151"/>
      <c r="F43" s="151"/>
      <c r="G43" s="150"/>
      <c r="H43" s="152"/>
      <c r="I43" s="152"/>
      <c r="J43" s="153"/>
    </row>
    <row r="44" spans="1:10" s="45" customFormat="1" ht="17.100000000000001" customHeight="1" x14ac:dyDescent="0.25">
      <c r="A44" s="147"/>
      <c r="B44" s="148"/>
      <c r="C44" s="149"/>
      <c r="D44" s="150"/>
      <c r="E44" s="151"/>
      <c r="F44" s="151"/>
      <c r="G44" s="150"/>
      <c r="H44" s="152"/>
      <c r="I44" s="152"/>
      <c r="J44" s="153"/>
    </row>
    <row r="45" spans="1:10" s="45" customFormat="1" ht="17.100000000000001" customHeight="1" x14ac:dyDescent="0.25">
      <c r="A45" s="147"/>
      <c r="B45" s="148"/>
      <c r="C45" s="149"/>
      <c r="D45" s="150"/>
      <c r="E45" s="151"/>
      <c r="F45" s="151"/>
      <c r="G45" s="150"/>
      <c r="H45" s="152"/>
      <c r="I45" s="152"/>
      <c r="J45" s="153"/>
    </row>
    <row r="46" spans="1:10" s="45" customFormat="1" ht="17.100000000000001" customHeight="1" x14ac:dyDescent="0.25">
      <c r="A46" s="363" t="s">
        <v>124</v>
      </c>
      <c r="B46" s="364"/>
      <c r="C46" s="365"/>
      <c r="D46" s="503" t="s">
        <v>11</v>
      </c>
      <c r="E46" s="366"/>
      <c r="F46" s="366"/>
      <c r="G46" s="366"/>
      <c r="H46" s="366"/>
      <c r="I46" s="366"/>
      <c r="J46" s="366"/>
    </row>
    <row r="47" spans="1:10" s="45" customFormat="1" ht="17.100000000000001" customHeight="1" x14ac:dyDescent="0.25">
      <c r="A47" s="154"/>
      <c r="B47" s="154"/>
      <c r="C47" s="154"/>
      <c r="D47" s="154"/>
      <c r="E47" s="154"/>
      <c r="F47" s="154"/>
      <c r="G47" s="154"/>
      <c r="H47" s="154"/>
      <c r="I47" s="154"/>
      <c r="J47" s="154"/>
    </row>
    <row r="48" spans="1:10" s="45" customFormat="1" ht="15" customHeight="1" x14ac:dyDescent="0.25"/>
    <row r="49" s="45" customFormat="1" ht="15" customHeight="1" x14ac:dyDescent="0.25"/>
    <row r="50" s="45" customFormat="1" ht="15" customHeight="1" x14ac:dyDescent="0.25"/>
  </sheetData>
  <mergeCells count="41">
    <mergeCell ref="A3:J3"/>
    <mergeCell ref="D11:F11"/>
    <mergeCell ref="A13:J13"/>
    <mergeCell ref="H14:J14"/>
    <mergeCell ref="I29:J29"/>
    <mergeCell ref="A21:B27"/>
    <mergeCell ref="H21:J27"/>
    <mergeCell ref="C23:C27"/>
    <mergeCell ref="H17:J17"/>
    <mergeCell ref="H18:J18"/>
    <mergeCell ref="A19:B20"/>
    <mergeCell ref="C19:C20"/>
    <mergeCell ref="D19:E19"/>
    <mergeCell ref="F19:G19"/>
    <mergeCell ref="H19:J20"/>
    <mergeCell ref="A29:F29"/>
    <mergeCell ref="A30:F30"/>
    <mergeCell ref="C31:F31"/>
    <mergeCell ref="A35:J35"/>
    <mergeCell ref="A36:J36"/>
    <mergeCell ref="I30:J30"/>
    <mergeCell ref="I31:J31"/>
    <mergeCell ref="F15:G15"/>
    <mergeCell ref="F16:G16"/>
    <mergeCell ref="F17:G17"/>
    <mergeCell ref="F18:G18"/>
    <mergeCell ref="H15:J15"/>
    <mergeCell ref="H16:J16"/>
    <mergeCell ref="G40:J40"/>
    <mergeCell ref="A34:J34"/>
    <mergeCell ref="A46:C46"/>
    <mergeCell ref="D46:J46"/>
    <mergeCell ref="B38:C38"/>
    <mergeCell ref="D38:G38"/>
    <mergeCell ref="H38:J38"/>
    <mergeCell ref="A39:J39"/>
    <mergeCell ref="A40:C40"/>
    <mergeCell ref="D40:F40"/>
    <mergeCell ref="B37:C37"/>
    <mergeCell ref="D37:G37"/>
    <mergeCell ref="H37:J37"/>
  </mergeCells>
  <printOptions horizontalCentered="1"/>
  <pageMargins left="0" right="0" top="0.21875" bottom="0.7480314960629921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view="pageLayout" topLeftCell="A7" zoomScaleNormal="100" workbookViewId="0">
      <selection activeCell="G20" sqref="G20:K20"/>
    </sheetView>
  </sheetViews>
  <sheetFormatPr defaultRowHeight="15" x14ac:dyDescent="0.25"/>
  <cols>
    <col min="2" max="2" width="11.5703125" customWidth="1"/>
    <col min="3" max="3" width="10.85546875" customWidth="1"/>
    <col min="4" max="6" width="7.28515625" customWidth="1"/>
    <col min="7" max="11" width="7.5703125" customWidth="1"/>
    <col min="12" max="13" width="6.7109375" customWidth="1"/>
  </cols>
  <sheetData>
    <row r="1" spans="1:13" s="169" customFormat="1" ht="17.100000000000001" customHeight="1" x14ac:dyDescent="0.25"/>
    <row r="2" spans="1:13" s="169" customFormat="1" ht="17.100000000000001" customHeight="1" x14ac:dyDescent="0.25"/>
    <row r="3" spans="1:13" s="169" customFormat="1" ht="17.100000000000001" customHeight="1" x14ac:dyDescent="0.25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169" customFormat="1" ht="17.100000000000001" customHeight="1" x14ac:dyDescent="0.25"/>
    <row r="5" spans="1:13" s="169" customFormat="1" ht="17.100000000000001" customHeight="1" x14ac:dyDescent="0.25">
      <c r="A5" s="169" t="s">
        <v>91</v>
      </c>
      <c r="C5" s="88" t="s">
        <v>1</v>
      </c>
      <c r="D5" s="81" t="s">
        <v>2</v>
      </c>
    </row>
    <row r="6" spans="1:13" s="169" customFormat="1" ht="17.100000000000001" customHeight="1" x14ac:dyDescent="0.25">
      <c r="C6" s="88"/>
      <c r="D6" s="170" t="s">
        <v>3</v>
      </c>
    </row>
    <row r="7" spans="1:13" s="169" customFormat="1" ht="17.100000000000001" customHeight="1" x14ac:dyDescent="0.25">
      <c r="C7" s="88"/>
      <c r="D7" s="81" t="s">
        <v>4</v>
      </c>
    </row>
    <row r="8" spans="1:13" s="169" customFormat="1" ht="17.100000000000001" customHeight="1" x14ac:dyDescent="0.25">
      <c r="C8" s="88"/>
    </row>
    <row r="9" spans="1:13" s="169" customFormat="1" ht="17.100000000000001" customHeight="1" x14ac:dyDescent="0.25">
      <c r="A9" s="169" t="s">
        <v>5</v>
      </c>
      <c r="C9" s="88" t="s">
        <v>1</v>
      </c>
      <c r="D9" s="185" t="s">
        <v>126</v>
      </c>
    </row>
    <row r="10" spans="1:13" s="169" customFormat="1" ht="17.100000000000001" customHeight="1" x14ac:dyDescent="0.25">
      <c r="A10" s="169" t="s">
        <v>6</v>
      </c>
      <c r="C10" s="88" t="s">
        <v>1</v>
      </c>
      <c r="D10" s="185" t="s">
        <v>127</v>
      </c>
      <c r="E10" s="171"/>
      <c r="F10" s="171"/>
    </row>
    <row r="11" spans="1:13" s="169" customFormat="1" ht="17.100000000000001" customHeight="1" x14ac:dyDescent="0.25">
      <c r="A11" s="169" t="s">
        <v>94</v>
      </c>
      <c r="C11" s="88" t="s">
        <v>1</v>
      </c>
      <c r="D11" s="45" t="s">
        <v>167</v>
      </c>
    </row>
    <row r="12" spans="1:13" s="169" customFormat="1" ht="17.100000000000001" customHeight="1" x14ac:dyDescent="0.25">
      <c r="A12" s="169" t="s">
        <v>95</v>
      </c>
      <c r="C12" s="88" t="s">
        <v>1</v>
      </c>
      <c r="D12" s="442" t="s">
        <v>96</v>
      </c>
      <c r="E12" s="442"/>
      <c r="F12" s="442"/>
    </row>
    <row r="13" spans="1:13" s="169" customFormat="1" ht="17.100000000000001" customHeight="1" x14ac:dyDescent="0.25">
      <c r="A13" s="169" t="s">
        <v>128</v>
      </c>
      <c r="C13" s="88" t="s">
        <v>1</v>
      </c>
      <c r="D13" s="186" t="s">
        <v>129</v>
      </c>
      <c r="E13" s="172"/>
      <c r="F13" s="172"/>
    </row>
    <row r="14" spans="1:13" s="169" customFormat="1" ht="17.100000000000001" customHeight="1" x14ac:dyDescent="0.25"/>
    <row r="15" spans="1:13" s="169" customFormat="1" ht="17.100000000000001" customHeight="1" x14ac:dyDescent="0.25">
      <c r="A15" s="443" t="s">
        <v>130</v>
      </c>
      <c r="B15" s="444"/>
      <c r="C15" s="445"/>
      <c r="D15" s="269" t="s">
        <v>8</v>
      </c>
      <c r="E15" s="269"/>
      <c r="F15" s="269"/>
      <c r="G15" s="269"/>
      <c r="H15" s="269"/>
      <c r="I15" s="269" t="s">
        <v>13</v>
      </c>
      <c r="J15" s="269"/>
      <c r="K15" s="269"/>
      <c r="L15" s="269"/>
      <c r="M15" s="269"/>
    </row>
    <row r="16" spans="1:13" s="169" customFormat="1" ht="17.100000000000001" customHeight="1" x14ac:dyDescent="0.25">
      <c r="A16" s="504" t="s">
        <v>131</v>
      </c>
      <c r="B16" s="505"/>
      <c r="C16" s="505"/>
      <c r="D16" s="506" t="s">
        <v>132</v>
      </c>
      <c r="E16" s="506"/>
      <c r="F16" s="506"/>
      <c r="G16" s="506"/>
      <c r="H16" s="506"/>
      <c r="I16" s="507" t="s">
        <v>133</v>
      </c>
      <c r="J16" s="507"/>
      <c r="K16" s="507"/>
      <c r="L16" s="507"/>
      <c r="M16" s="507"/>
    </row>
    <row r="17" spans="1:13" s="169" customFormat="1" ht="17.100000000000001" customHeight="1" x14ac:dyDescent="0.25">
      <c r="A17" s="508" t="s">
        <v>134</v>
      </c>
      <c r="B17" s="509"/>
      <c r="C17" s="510"/>
      <c r="D17" s="506"/>
      <c r="E17" s="506"/>
      <c r="F17" s="506"/>
      <c r="G17" s="506"/>
      <c r="H17" s="506"/>
      <c r="I17" s="507"/>
      <c r="J17" s="507"/>
      <c r="K17" s="507"/>
      <c r="L17" s="507"/>
      <c r="M17" s="507"/>
    </row>
    <row r="18" spans="1:13" s="169" customFormat="1" ht="17.100000000000001" customHeight="1" x14ac:dyDescent="0.25">
      <c r="A18" s="511" t="s">
        <v>135</v>
      </c>
      <c r="B18" s="512"/>
      <c r="C18" s="513"/>
      <c r="D18" s="506"/>
      <c r="E18" s="506"/>
      <c r="F18" s="506"/>
      <c r="G18" s="506"/>
      <c r="H18" s="506"/>
      <c r="I18" s="507"/>
      <c r="J18" s="507"/>
      <c r="K18" s="507"/>
      <c r="L18" s="507"/>
      <c r="M18" s="507"/>
    </row>
    <row r="19" spans="1:13" s="169" customFormat="1" ht="17.100000000000001" customHeight="1" x14ac:dyDescent="0.25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5"/>
    </row>
    <row r="20" spans="1:13" s="169" customFormat="1" ht="17.100000000000001" customHeight="1" x14ac:dyDescent="0.25">
      <c r="A20" s="277" t="s">
        <v>136</v>
      </c>
      <c r="B20" s="415" t="s">
        <v>137</v>
      </c>
      <c r="C20" s="437"/>
      <c r="D20" s="277" t="s">
        <v>138</v>
      </c>
      <c r="E20" s="277"/>
      <c r="F20" s="277"/>
      <c r="G20" s="277" t="s">
        <v>145</v>
      </c>
      <c r="H20" s="277"/>
      <c r="I20" s="277"/>
      <c r="J20" s="277"/>
      <c r="K20" s="277"/>
      <c r="L20" s="277" t="s">
        <v>146</v>
      </c>
      <c r="M20" s="277"/>
    </row>
    <row r="21" spans="1:13" s="169" customFormat="1" ht="17.100000000000001" customHeight="1" x14ac:dyDescent="0.25">
      <c r="A21" s="277"/>
      <c r="B21" s="437"/>
      <c r="C21" s="437"/>
      <c r="D21" s="277"/>
      <c r="E21" s="277"/>
      <c r="F21" s="277"/>
      <c r="G21" s="410">
        <v>1</v>
      </c>
      <c r="H21" s="410">
        <v>2</v>
      </c>
      <c r="I21" s="410">
        <v>3</v>
      </c>
      <c r="J21" s="410">
        <v>4</v>
      </c>
      <c r="K21" s="410">
        <v>5</v>
      </c>
      <c r="L21" s="277"/>
      <c r="M21" s="277"/>
    </row>
    <row r="22" spans="1:13" s="169" customFormat="1" ht="17.100000000000001" customHeight="1" x14ac:dyDescent="0.25">
      <c r="A22" s="277"/>
      <c r="B22" s="437"/>
      <c r="C22" s="437"/>
      <c r="D22" s="277"/>
      <c r="E22" s="277"/>
      <c r="F22" s="277"/>
      <c r="G22" s="411"/>
      <c r="H22" s="411"/>
      <c r="I22" s="411"/>
      <c r="J22" s="411"/>
      <c r="K22" s="411"/>
      <c r="L22" s="277"/>
      <c r="M22" s="277"/>
    </row>
    <row r="23" spans="1:13" s="169" customFormat="1" ht="17.100000000000001" customHeight="1" x14ac:dyDescent="0.25">
      <c r="A23" s="438">
        <v>1</v>
      </c>
      <c r="B23" s="441" t="s">
        <v>139</v>
      </c>
      <c r="C23" s="245"/>
      <c r="D23" s="286" t="s">
        <v>140</v>
      </c>
      <c r="E23" s="286"/>
      <c r="F23" s="286"/>
      <c r="G23" s="514">
        <v>0.4</v>
      </c>
      <c r="H23" s="514">
        <v>0.5</v>
      </c>
      <c r="I23" s="514">
        <v>0.4</v>
      </c>
      <c r="J23" s="514">
        <v>0.4</v>
      </c>
      <c r="K23" s="514">
        <v>0.5</v>
      </c>
      <c r="L23" s="514">
        <f>AVERAGE(G23:K24)</f>
        <v>0.44000000000000006</v>
      </c>
      <c r="M23" s="514"/>
    </row>
    <row r="24" spans="1:13" s="169" customFormat="1" ht="17.100000000000001" customHeight="1" x14ac:dyDescent="0.25">
      <c r="A24" s="439"/>
      <c r="B24" s="246"/>
      <c r="C24" s="247"/>
      <c r="D24" s="286"/>
      <c r="E24" s="286"/>
      <c r="F24" s="286"/>
      <c r="G24" s="514"/>
      <c r="H24" s="514"/>
      <c r="I24" s="514"/>
      <c r="J24" s="514"/>
      <c r="K24" s="514"/>
      <c r="L24" s="514"/>
      <c r="M24" s="514"/>
    </row>
    <row r="25" spans="1:13" s="169" customFormat="1" ht="17.100000000000001" customHeight="1" x14ac:dyDescent="0.25">
      <c r="A25" s="439"/>
      <c r="B25" s="246"/>
      <c r="C25" s="247"/>
      <c r="D25" s="286" t="s">
        <v>141</v>
      </c>
      <c r="E25" s="286"/>
      <c r="F25" s="286"/>
      <c r="G25" s="514">
        <v>0.4</v>
      </c>
      <c r="H25" s="514">
        <v>0.4</v>
      </c>
      <c r="I25" s="514">
        <v>0.4</v>
      </c>
      <c r="J25" s="514">
        <v>0.5</v>
      </c>
      <c r="K25" s="514">
        <v>0.4</v>
      </c>
      <c r="L25" s="514">
        <f t="shared" ref="L25" si="0">AVERAGE(G25:K26)</f>
        <v>0.42000000000000004</v>
      </c>
      <c r="M25" s="514"/>
    </row>
    <row r="26" spans="1:13" s="169" customFormat="1" ht="17.100000000000001" customHeight="1" x14ac:dyDescent="0.25">
      <c r="A26" s="439"/>
      <c r="B26" s="246"/>
      <c r="C26" s="247"/>
      <c r="D26" s="286"/>
      <c r="E26" s="286"/>
      <c r="F26" s="286"/>
      <c r="G26" s="514"/>
      <c r="H26" s="514"/>
      <c r="I26" s="514"/>
      <c r="J26" s="514"/>
      <c r="K26" s="514"/>
      <c r="L26" s="514"/>
      <c r="M26" s="514"/>
    </row>
    <row r="27" spans="1:13" s="169" customFormat="1" ht="17.100000000000001" customHeight="1" x14ac:dyDescent="0.25">
      <c r="A27" s="439"/>
      <c r="B27" s="246"/>
      <c r="C27" s="247"/>
      <c r="D27" s="286" t="s">
        <v>142</v>
      </c>
      <c r="E27" s="286"/>
      <c r="F27" s="286"/>
      <c r="G27" s="514">
        <v>0.5</v>
      </c>
      <c r="H27" s="514">
        <v>0.4</v>
      </c>
      <c r="I27" s="514">
        <v>0.5</v>
      </c>
      <c r="J27" s="514">
        <v>0.5</v>
      </c>
      <c r="K27" s="514">
        <v>0.5</v>
      </c>
      <c r="L27" s="514">
        <f t="shared" ref="L27" si="1">AVERAGE(G27:K28)</f>
        <v>0.48</v>
      </c>
      <c r="M27" s="514"/>
    </row>
    <row r="28" spans="1:13" s="169" customFormat="1" ht="17.100000000000001" customHeight="1" x14ac:dyDescent="0.25">
      <c r="A28" s="439"/>
      <c r="B28" s="246"/>
      <c r="C28" s="247"/>
      <c r="D28" s="286"/>
      <c r="E28" s="286"/>
      <c r="F28" s="286"/>
      <c r="G28" s="514"/>
      <c r="H28" s="514"/>
      <c r="I28" s="514"/>
      <c r="J28" s="514"/>
      <c r="K28" s="514"/>
      <c r="L28" s="514"/>
      <c r="M28" s="514"/>
    </row>
    <row r="29" spans="1:13" s="169" customFormat="1" ht="17.100000000000001" customHeight="1" x14ac:dyDescent="0.25">
      <c r="A29" s="439"/>
      <c r="B29" s="246"/>
      <c r="C29" s="247"/>
      <c r="D29" s="286" t="s">
        <v>143</v>
      </c>
      <c r="E29" s="286"/>
      <c r="F29" s="286"/>
      <c r="G29" s="514">
        <v>0.5</v>
      </c>
      <c r="H29" s="514">
        <v>0.5</v>
      </c>
      <c r="I29" s="514">
        <v>0.4</v>
      </c>
      <c r="J29" s="514">
        <v>0.4</v>
      </c>
      <c r="K29" s="514">
        <v>0.5</v>
      </c>
      <c r="L29" s="514">
        <f t="shared" ref="L29" si="2">AVERAGE(G29:K30)</f>
        <v>0.45999999999999996</v>
      </c>
      <c r="M29" s="514"/>
    </row>
    <row r="30" spans="1:13" s="169" customFormat="1" ht="17.100000000000001" customHeight="1" x14ac:dyDescent="0.25">
      <c r="A30" s="439"/>
      <c r="B30" s="246"/>
      <c r="C30" s="247"/>
      <c r="D30" s="286"/>
      <c r="E30" s="286"/>
      <c r="F30" s="286"/>
      <c r="G30" s="514"/>
      <c r="H30" s="514"/>
      <c r="I30" s="514"/>
      <c r="J30" s="514"/>
      <c r="K30" s="514"/>
      <c r="L30" s="514"/>
      <c r="M30" s="514"/>
    </row>
    <row r="31" spans="1:13" s="169" customFormat="1" ht="17.100000000000001" customHeight="1" x14ac:dyDescent="0.25">
      <c r="A31" s="439"/>
      <c r="B31" s="246"/>
      <c r="C31" s="247"/>
      <c r="D31" s="286" t="s">
        <v>144</v>
      </c>
      <c r="E31" s="286"/>
      <c r="F31" s="286"/>
      <c r="G31" s="514">
        <v>0.4</v>
      </c>
      <c r="H31" s="514">
        <v>0.4</v>
      </c>
      <c r="I31" s="514">
        <v>0.5</v>
      </c>
      <c r="J31" s="514">
        <v>0.4</v>
      </c>
      <c r="K31" s="514">
        <v>0.5</v>
      </c>
      <c r="L31" s="514">
        <f t="shared" ref="L31" si="3">AVERAGE(G31:K32)</f>
        <v>0.44000000000000006</v>
      </c>
      <c r="M31" s="514"/>
    </row>
    <row r="32" spans="1:13" s="169" customFormat="1" ht="17.100000000000001" customHeight="1" x14ac:dyDescent="0.25">
      <c r="A32" s="440"/>
      <c r="B32" s="248"/>
      <c r="C32" s="249"/>
      <c r="D32" s="286"/>
      <c r="E32" s="286"/>
      <c r="F32" s="286"/>
      <c r="G32" s="514"/>
      <c r="H32" s="514"/>
      <c r="I32" s="514"/>
      <c r="J32" s="514"/>
      <c r="K32" s="514"/>
      <c r="L32" s="514"/>
      <c r="M32" s="514"/>
    </row>
    <row r="33" spans="1:13" s="169" customFormat="1" ht="17.100000000000001" customHeight="1" x14ac:dyDescent="0.25">
      <c r="A33" s="176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8"/>
    </row>
    <row r="34" spans="1:13" s="169" customFormat="1" ht="17.100000000000001" customHeight="1" x14ac:dyDescent="0.25">
      <c r="A34" s="176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8"/>
    </row>
    <row r="35" spans="1:13" s="169" customFormat="1" ht="17.100000000000001" customHeight="1" x14ac:dyDescent="0.25">
      <c r="A35" s="179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1"/>
    </row>
    <row r="36" spans="1:13" s="169" customFormat="1" ht="17.100000000000001" customHeight="1" x14ac:dyDescent="0.25">
      <c r="A36" s="412" t="s">
        <v>168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  <c r="L36" s="413"/>
      <c r="M36" s="414"/>
    </row>
    <row r="37" spans="1:13" s="169" customFormat="1" ht="17.100000000000001" customHeight="1" x14ac:dyDescent="0.25">
      <c r="A37" s="415" t="s">
        <v>169</v>
      </c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</row>
    <row r="38" spans="1:13" s="169" customFormat="1" ht="17.100000000000001" customHeight="1" x14ac:dyDescent="0.25">
      <c r="A38" s="182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4"/>
    </row>
    <row r="39" spans="1:13" s="169" customFormat="1" ht="17.100000000000001" customHeight="1" x14ac:dyDescent="0.25">
      <c r="A39" s="515" t="s">
        <v>5</v>
      </c>
      <c r="B39" s="516"/>
      <c r="C39" s="517"/>
      <c r="D39" s="515" t="s">
        <v>6</v>
      </c>
      <c r="E39" s="516"/>
      <c r="F39" s="516"/>
      <c r="G39" s="516"/>
      <c r="H39" s="517"/>
      <c r="I39" s="515" t="s">
        <v>28</v>
      </c>
      <c r="J39" s="516"/>
      <c r="K39" s="516"/>
      <c r="L39" s="516"/>
      <c r="M39" s="517"/>
    </row>
    <row r="40" spans="1:13" s="169" customFormat="1" ht="17.100000000000001" customHeight="1" x14ac:dyDescent="0.25">
      <c r="A40" s="419"/>
      <c r="B40" s="420"/>
      <c r="C40" s="421"/>
      <c r="D40" s="428"/>
      <c r="E40" s="429"/>
      <c r="F40" s="429"/>
      <c r="G40" s="429"/>
      <c r="H40" s="430"/>
      <c r="I40" s="428"/>
      <c r="J40" s="429"/>
      <c r="K40" s="429"/>
      <c r="L40" s="429"/>
      <c r="M40" s="430"/>
    </row>
    <row r="41" spans="1:13" s="169" customFormat="1" ht="17.100000000000001" customHeight="1" x14ac:dyDescent="0.25">
      <c r="A41" s="422"/>
      <c r="B41" s="423"/>
      <c r="C41" s="424"/>
      <c r="D41" s="431"/>
      <c r="E41" s="432"/>
      <c r="F41" s="432"/>
      <c r="G41" s="432"/>
      <c r="H41" s="433"/>
      <c r="I41" s="431"/>
      <c r="J41" s="432"/>
      <c r="K41" s="432"/>
      <c r="L41" s="432"/>
      <c r="M41" s="433"/>
    </row>
    <row r="42" spans="1:13" s="169" customFormat="1" ht="17.100000000000001" customHeight="1" x14ac:dyDescent="0.25">
      <c r="A42" s="422"/>
      <c r="B42" s="423"/>
      <c r="C42" s="424"/>
      <c r="D42" s="431"/>
      <c r="E42" s="432"/>
      <c r="F42" s="432"/>
      <c r="G42" s="432"/>
      <c r="H42" s="433"/>
      <c r="I42" s="431"/>
      <c r="J42" s="432"/>
      <c r="K42" s="432"/>
      <c r="L42" s="432"/>
      <c r="M42" s="433"/>
    </row>
    <row r="43" spans="1:13" s="169" customFormat="1" ht="17.100000000000001" customHeight="1" x14ac:dyDescent="0.25">
      <c r="A43" s="422"/>
      <c r="B43" s="423"/>
      <c r="C43" s="424"/>
      <c r="D43" s="431"/>
      <c r="E43" s="432"/>
      <c r="F43" s="432"/>
      <c r="G43" s="432"/>
      <c r="H43" s="433"/>
      <c r="I43" s="431"/>
      <c r="J43" s="432"/>
      <c r="K43" s="432"/>
      <c r="L43" s="432"/>
      <c r="M43" s="433"/>
    </row>
    <row r="44" spans="1:13" s="169" customFormat="1" ht="17.100000000000001" customHeight="1" x14ac:dyDescent="0.25">
      <c r="A44" s="422"/>
      <c r="B44" s="423"/>
      <c r="C44" s="424"/>
      <c r="D44" s="431"/>
      <c r="E44" s="432"/>
      <c r="F44" s="432"/>
      <c r="G44" s="432"/>
      <c r="H44" s="433"/>
      <c r="I44" s="431"/>
      <c r="J44" s="432"/>
      <c r="K44" s="432"/>
      <c r="L44" s="432"/>
      <c r="M44" s="433"/>
    </row>
    <row r="45" spans="1:13" s="169" customFormat="1" ht="17.100000000000001" customHeight="1" x14ac:dyDescent="0.25">
      <c r="A45" s="422"/>
      <c r="B45" s="423"/>
      <c r="C45" s="424"/>
      <c r="D45" s="431"/>
      <c r="E45" s="432"/>
      <c r="F45" s="432"/>
      <c r="G45" s="432"/>
      <c r="H45" s="433"/>
      <c r="I45" s="431"/>
      <c r="J45" s="432"/>
      <c r="K45" s="432"/>
      <c r="L45" s="432"/>
      <c r="M45" s="433"/>
    </row>
    <row r="46" spans="1:13" s="169" customFormat="1" ht="17.100000000000001" customHeight="1" x14ac:dyDescent="0.25">
      <c r="A46" s="425"/>
      <c r="B46" s="426"/>
      <c r="C46" s="427"/>
      <c r="D46" s="434"/>
      <c r="E46" s="435"/>
      <c r="F46" s="435"/>
      <c r="G46" s="435"/>
      <c r="H46" s="436"/>
      <c r="I46" s="434"/>
      <c r="J46" s="435"/>
      <c r="K46" s="435"/>
      <c r="L46" s="435"/>
      <c r="M46" s="436"/>
    </row>
    <row r="47" spans="1:13" s="169" customFormat="1" ht="17.100000000000001" customHeight="1" x14ac:dyDescent="0.25">
      <c r="A47" s="416" t="s">
        <v>10</v>
      </c>
      <c r="B47" s="417"/>
      <c r="C47" s="418"/>
      <c r="D47" s="518" t="s">
        <v>11</v>
      </c>
      <c r="E47" s="519"/>
      <c r="F47" s="519"/>
      <c r="G47" s="519"/>
      <c r="H47" s="519"/>
      <c r="I47" s="519"/>
      <c r="J47" s="519"/>
      <c r="K47" s="519"/>
      <c r="L47" s="519"/>
      <c r="M47" s="520"/>
    </row>
    <row r="48" spans="1:13" s="169" customFormat="1" ht="17.100000000000001" customHeight="1" x14ac:dyDescent="0.25"/>
    <row r="49" s="169" customFormat="1" ht="16.5" customHeight="1" x14ac:dyDescent="0.25"/>
  </sheetData>
  <mergeCells count="67">
    <mergeCell ref="A18:C18"/>
    <mergeCell ref="A3:M3"/>
    <mergeCell ref="D12:F12"/>
    <mergeCell ref="A15:C15"/>
    <mergeCell ref="A16:C16"/>
    <mergeCell ref="A17:B17"/>
    <mergeCell ref="A23:A32"/>
    <mergeCell ref="B23:C32"/>
    <mergeCell ref="D23:F24"/>
    <mergeCell ref="G23:G24"/>
    <mergeCell ref="H23:H24"/>
    <mergeCell ref="A20:A22"/>
    <mergeCell ref="B20:C22"/>
    <mergeCell ref="D20:F22"/>
    <mergeCell ref="G20:K20"/>
    <mergeCell ref="L20:M22"/>
    <mergeCell ref="I23:I24"/>
    <mergeCell ref="J23:J24"/>
    <mergeCell ref="K23:K24"/>
    <mergeCell ref="L23:M24"/>
    <mergeCell ref="D25:F26"/>
    <mergeCell ref="G25:G26"/>
    <mergeCell ref="H25:H26"/>
    <mergeCell ref="I25:I26"/>
    <mergeCell ref="J25:J26"/>
    <mergeCell ref="K25:K26"/>
    <mergeCell ref="I29:I30"/>
    <mergeCell ref="J29:J30"/>
    <mergeCell ref="K29:K30"/>
    <mergeCell ref="L25:M26"/>
    <mergeCell ref="D27:F28"/>
    <mergeCell ref="G27:G28"/>
    <mergeCell ref="H27:H28"/>
    <mergeCell ref="I27:I28"/>
    <mergeCell ref="J27:J28"/>
    <mergeCell ref="K27:K28"/>
    <mergeCell ref="L27:M28"/>
    <mergeCell ref="D15:H15"/>
    <mergeCell ref="D16:H18"/>
    <mergeCell ref="I15:M15"/>
    <mergeCell ref="I16:M18"/>
    <mergeCell ref="G21:G22"/>
    <mergeCell ref="A37:M37"/>
    <mergeCell ref="A47:C47"/>
    <mergeCell ref="D47:M47"/>
    <mergeCell ref="A39:C39"/>
    <mergeCell ref="D39:H39"/>
    <mergeCell ref="I39:M39"/>
    <mergeCell ref="A40:C46"/>
    <mergeCell ref="D40:H46"/>
    <mergeCell ref="I40:M46"/>
    <mergeCell ref="H21:H22"/>
    <mergeCell ref="I21:I22"/>
    <mergeCell ref="J21:J22"/>
    <mergeCell ref="K21:K22"/>
    <mergeCell ref="A36:M36"/>
    <mergeCell ref="L29:M30"/>
    <mergeCell ref="D31:F32"/>
    <mergeCell ref="G31:G32"/>
    <mergeCell ref="H31:H32"/>
    <mergeCell ref="I31:I32"/>
    <mergeCell ref="J31:J32"/>
    <mergeCell ref="K31:K32"/>
    <mergeCell ref="L31:M32"/>
    <mergeCell ref="D29:F30"/>
    <mergeCell ref="G29:G30"/>
    <mergeCell ref="H29:H30"/>
  </mergeCells>
  <printOptions horizontalCentered="1"/>
  <pageMargins left="0" right="0" top="0.35433070866141736" bottom="0.7480314960629921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CFM</vt:lpstr>
      <vt:lpstr>PAO </vt:lpstr>
      <vt:lpstr>PC REST</vt:lpstr>
      <vt:lpstr>RC</vt:lpstr>
      <vt:lpstr>Velocity</vt:lpstr>
      <vt:lpstr>CFM!Print_Area</vt:lpstr>
      <vt:lpstr>'PAO '!Print_Area</vt:lpstr>
      <vt:lpstr>'PC REST'!Print_Area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2026-04-16T10:27:30Z</dcterms:modified>
</cp:coreProperties>
</file>